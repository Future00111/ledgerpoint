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d81001d814a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unch plan" sheetId="1" r:id="Re771753470e44a7b"/>
    <x:sheet xmlns:r="http://schemas.openxmlformats.org/officeDocument/2006/relationships" name="Workstreams" sheetId="2" r:id="R986a578b683e452a"/>
    <x:sheet xmlns:r="http://schemas.openxmlformats.org/officeDocument/2006/relationships" name="Weekly schedule" sheetId="3" r:id="Re6edaeda2d0b47ca"/>
    <x:sheet xmlns:r="http://schemas.openxmlformats.org/officeDocument/2006/relationships" name="Features" sheetId="4" r:id="R29400f69fbb84402"/>
    <x:sheet xmlns:r="http://schemas.openxmlformats.org/officeDocument/2006/relationships" name="Evidence" sheetId="5" r:id="R879611cdac7b46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 mmm yyyy"/>
    <x:numFmt numFmtId="201" formatCode="0.0"/>
    <x:numFmt numFmtId="202" formatCode="0"/>
    <x:numFmt numFmtId="203" formatCode="dd mmm yy"/>
  </x:numFmts>
  <x:fonts count="4">
    <x:font>
      <x:sz val="11"/>
      <x:name val="Carlito"/>
    </x:font>
    <x:font>
      <x:sz val="10"/>
      <x:color rgb="FF243447"/>
      <x:name val="Arial"/>
    </x:font>
    <x:font>
      <x:b/>
      <x:sz val="16"/>
      <x:color rgb="FF243B5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1C6"/>
      </x:patternFill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3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31">
    <x:dxf>
      <x:font>
        <x:b/>
        <x:color rgb="FF9F2525"/>
      </x:font>
      <x:fill>
        <x:patternFill patternType="solid">
          <x:bgColor rgb="FFFCE2E2"/>
        </x:patternFill>
      </x:fill>
    </x:dxf>
    <x:dxf>
      <x:fill>
        <x:patternFill patternType="solid">
          <x:bgColor rgb="FFFFF1C6"/>
        </x:patternFill>
      </x:fill>
    </x:dxf>
    <x:dxf>
      <x:fill>
        <x:patternFill patternType="solid">
          <x:bgColor rgb="FFFFF1C6"/>
        </x:patternFill>
      </x:fill>
    </x:dxf>
    <x:dxf>
      <x:fill>
        <x:patternFill patternType="solid">
          <x:bgColor rgb="FFFFF1C6"/>
        </x:patternFill>
      </x:fill>
    </x:dxf>
    <x:dxf>
      <x:font>
        <x:b/>
        <x:color rgb="FF9F2525"/>
      </x:font>
      <x:fill>
        <x:patternFill patternType="solid">
          <x:bgColor rgb="FFFCE2E2"/>
        </x:patternFill>
      </x:fill>
    </x:dxf>
    <x:dxf>
      <x:fill>
        <x:patternFill patternType="solid">
          <x:bgColor rgb="FFFFF1C6"/>
        </x:patternFill>
      </x:fill>
    </x:dxf>
    <x:dxf>
      <x:fill>
        <x:patternFill patternType="solid">
          <x:bgColor rgb="FFFFF1C6"/>
        </x:patternFill>
      </x:fill>
    </x:dxf>
    <x:dxf>
      <x:fill>
        <x:patternFill patternType="solid">
          <x:bgColor rgb="FFFFF1C6"/>
        </x:patternFill>
      </x:fill>
    </x:dxf>
    <x:dxf>
      <x:font>
        <x:b/>
        <x:color rgb="FF9F2525"/>
      </x:font>
      <x:fill>
        <x:patternFill patternType="solid">
          <x:bgColor rgb="FFFCE2E2"/>
        </x:patternFill>
      </x:fill>
    </x:dxf>
    <x:dxf>
      <x:fill>
        <x:patternFill patternType="solid">
          <x:bgColor rgb="FFFFF1C6"/>
        </x:patternFill>
      </x:fill>
    </x:dxf>
    <x:dxf>
      <x:fill>
        <x:patternFill patternType="solid">
          <x:bgColor rgb="FFFFF1C6"/>
        </x:patternFill>
      </x:fill>
    </x:dxf>
    <x:dxf>
      <x:fill>
        <x:patternFill patternType="solid">
          <x:bgColor rgb="FFFFF1C6"/>
        </x:patternFill>
      </x:fill>
    </x:dxf>
    <x:dxf>
      <x:font>
        <x:b/>
        <x:color rgb="FF9F2525"/>
      </x:font>
      <x:fill>
        <x:patternFill patternType="solid">
          <x:bgColor rgb="FFFCE2E2"/>
        </x:patternFill>
      </x:fill>
    </x:dxf>
    <x:dxf>
      <x:fill>
        <x:patternFill patternType="solid">
          <x:bgColor rgb="FFFFF1C6"/>
        </x:patternFill>
      </x:fill>
    </x:dxf>
    <x:dxf>
      <x:fill>
        <x:patternFill patternType="solid">
          <x:bgColor rgb="FFFFF1C6"/>
        </x:patternFill>
      </x:fill>
    </x:dxf>
    <x:dxf>
      <x:fill>
        <x:patternFill patternType="solid">
          <x:bgColor rgb="FFFFF1C6"/>
        </x:patternFill>
      </x:fill>
    </x:dxf>
    <x:dxf>
      <x:fill>
        <x:patternFill patternType="solid">
          <x:bgColor rgb="FFDCE8F3"/>
        </x:patternFill>
      </x:fill>
    </x:dxf>
    <x:dxf>
      <x:fill>
        <x:patternFill patternType="solid">
          <x:bgColor rgb="FFE0EBDD"/>
        </x:patternFill>
      </x:fill>
    </x:dxf>
    <x:dxf>
      <x:fill>
        <x:patternFill patternType="solid">
          <x:bgColor rgb="FFF3F6F9"/>
        </x:patternFill>
      </x:fill>
    </x:dxf>
    <x:dxf>
      <x:fill>
        <x:patternFill patternType="solid">
          <x:bgColor rgb="FFFFF1C6"/>
        </x:patternFill>
      </x:fill>
    </x:dxf>
    <x:dxf>
      <x:fill>
        <x:patternFill patternType="solid">
          <x:bgColor rgb="FFDDECE5"/>
        </x:patternFill>
      </x:fill>
    </x:dxf>
    <x:dxf>
      <x:fill>
        <x:patternFill patternType="solid">
          <x:bgColor rgb="FFDDECE5"/>
        </x:patternFill>
      </x:fill>
    </x:dxf>
    <x:dxf>
      <x:fill>
        <x:patternFill patternType="solid">
          <x:bgColor rgb="FFFCE2E2"/>
        </x:patternFill>
      </x:fill>
    </x:dxf>
    <x:dxf>
      <x:font>
        <x:b/>
        <x:color rgb="FF9F2525"/>
      </x:font>
      <x:fill>
        <x:patternFill patternType="solid">
          <x:bgColor rgb="FFFCE2E2"/>
        </x:patternFill>
      </x:fill>
    </x:dxf>
    <x:dxf>
      <x:fill>
        <x:patternFill patternType="solid">
          <x:bgColor rgb="FFFFF1C6"/>
        </x:patternFill>
      </x:fill>
    </x:dxf>
    <x:dxf>
      <x:fill>
        <x:patternFill patternType="solid">
          <x:bgColor rgb="FFFFF1C6"/>
        </x:patternFill>
      </x:fill>
    </x:dxf>
    <x:dxf>
      <x:fill>
        <x:patternFill patternType="solid">
          <x:bgColor rgb="FFFFF1C6"/>
        </x:patternFill>
      </x:fill>
    </x:dxf>
    <x:dxf>
      <x:font>
        <x:b/>
        <x:color rgb="FF9F2525"/>
      </x:font>
      <x:fill>
        <x:patternFill patternType="solid">
          <x:bgColor rgb="FFFCE2E2"/>
        </x:patternFill>
      </x:fill>
    </x:dxf>
    <x:dxf>
      <x:fill>
        <x:patternFill patternType="solid">
          <x:bgColor rgb="FFFFF1C6"/>
        </x:patternFill>
      </x:fill>
    </x:dxf>
    <x:dxf>
      <x:fill>
        <x:patternFill patternType="solid">
          <x:bgColor rgb="FFFFF1C6"/>
        </x:patternFill>
      </x:fill>
    </x:dxf>
    <x:dxf>
      <x:fill>
        <x:patternFill patternType="solid">
          <x:bgColor rgb="FFFFF1C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26871a6ce44a5f" /><Relationship Type="http://schemas.openxmlformats.org/officeDocument/2006/relationships/theme" Target="/xl/theme/theme1.xml" Id="R833dacfd4ba2414f" /><Relationship Type="http://schemas.openxmlformats.org/officeDocument/2006/relationships/sharedStrings" Target="/xl/sharedStrings.xml" Id="Ref013d04fa124987" /><Relationship Type="http://schemas.openxmlformats.org/officeDocument/2006/relationships/worksheet" Target="/xl/worksheets/sheet1.xml" Id="Re771753470e44a7b" /><Relationship Type="http://schemas.openxmlformats.org/officeDocument/2006/relationships/worksheet" Target="/xl/worksheets/sheet2.xml" Id="R986a578b683e452a" /><Relationship Type="http://schemas.openxmlformats.org/officeDocument/2006/relationships/worksheet" Target="/xl/worksheets/sheet3.xml" Id="Re6edaeda2d0b47ca" /><Relationship Type="http://schemas.openxmlformats.org/officeDocument/2006/relationships/worksheet" Target="/xl/worksheets/sheet4.xml" Id="R29400f69fbb84402" /><Relationship Type="http://schemas.openxmlformats.org/officeDocument/2006/relationships/worksheet" Target="/xl/worksheets/sheet5.xml" Id="R879611cdac7b4660" /></Relationships>
</file>

<file path=xl/tables/table1.xml><?xml version="1.0" encoding="utf-8"?>
<x:table xmlns:x="http://schemas.openxmlformats.org/spreadsheetml/2006/main" id="1" name="WorkstreamTable" displayName="WorkstreamTable" ref="A6:O24" headerRowCount="1" totalsRowCount="0" totalsRowShown="0">
  <x:autoFilter ref="A6:O24"/>
  <x:tableColumns count="15">
    <x:tableColumn id="1" name="ID"/>
    <x:tableColumn id="2" name="Workstream"/>
    <x:tableColumn id="3" name="Stage"/>
    <x:tableColumn id="4" name="Proposed owner"/>
    <x:tableColumn id="5" name="Acceptance owner"/>
    <x:tableColumn id="6" name="Low days"/>
    <x:tableColumn id="7" name="Base days"/>
    <x:tableColumn id="8" name="High days"/>
    <x:tableColumn id="9" name="Depends on"/>
    <x:tableColumn id="10" name="Status"/>
    <x:tableColumn id="11" name="Approval"/>
    <x:tableColumn id="12" name="Acceptance"/>
    <x:tableColumn id="13" name="Start week"/>
    <x:tableColumn id="14" name="Finish week"/>
    <x:tableColumn id="15" name="Complete whe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FeatureTable" displayName="FeatureTable" ref="A6:I76" headerRowCount="1" totalsRowCount="0" totalsRowShown="0">
  <x:autoFilter ref="A6:I76"/>
  <x:tableColumns count="9">
    <x:tableColumn id="1" name="ID"/>
    <x:tableColumn id="2" name="Area"/>
    <x:tableColumn id="3" name="Pilot scope"/>
    <x:tableColumn id="4" name="Current assessment"/>
    <x:tableColumn id="5" name="What exists now"/>
    <x:tableColumn id="6" name="Remaining acceptance requirement"/>
    <x:tableColumn id="7" name="Workstream"/>
    <x:tableColumn id="8" name="Customer acceptance"/>
    <x:tableColumn id="9" name="Prior matrix statu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9f1b9f851e4e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538a0d618f14afa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44" hidden="0" customWidth="1"/>
    <x:col min="2" max="2" width="20" hidden="0" customWidth="1"/>
    <x:col min="3" max="3" width="20" hidden="0" customWidth="1"/>
    <x:col min="4" max="4" width="22" hidden="0" customWidth="1"/>
    <x:col min="5" max="5" width="42" hidden="0" customWidth="1"/>
    <x:col min="6" max="6" width="18" hidden="0" customWidth="1"/>
    <x:col min="7" max="7" width="16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3" t="str">
        <x:v>LedgerPoint launch plan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 t="str">
        <x:v>Assessment date</x:v>
      </x:c>
      <x:c r="B4" s="4" t="d">
        <x:v>2026-10-14T00:00:00.000Z</x:v>
      </x:c>
      <x:c r="C4" s="2"/>
      <x:c r="D4" s="2" t="str">
        <x:v>Plan status</x:v>
      </x:c>
      <x:c r="E4" s="2" t="str">
        <x:v>Draft. Scope and capacity unconfirmed.</x:v>
      </x:c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28" customHeight="1">
      <x:c r="A6" s="2" t="str">
        <x:v>Current position</x:v>
      </x:c>
      <x:c r="B6" s="2" t="str">
        <x:v>C7 qualified in development. G4 complete. G5–G7 pending.</x:v>
      </x:c>
      <x:c r="C6" s="2"/>
      <x:c r="D6" s="2"/>
      <x:c r="E6" s="2"/>
      <x:c r="F6" s="2"/>
      <x:c r="G6" s="2"/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 ht="33" customHeight="1">
      <x:c r="A8" s="2" t="str">
        <x:v>Plan start (Monday)</x:v>
      </x:c>
      <x:c r="B8" s="5" t="d">
        <x:v>2026-10-19T00:00:00.000Z</x:v>
      </x:c>
      <x:c r="C8" s="2"/>
      <x:c r="D8" s="8" t="str">
        <x:v>Candidate</x:v>
      </x:c>
      <x:c r="E8" s="8" t="str">
        <x:v>Exact C7 qualified. Composite app unqualified.</x:v>
      </x:c>
      <x:c r="F8" s="2"/>
      <x:c r="G8" s="2"/>
      <x:c r="H8" s="2"/>
    </x:row>
    <x:row r="9" ht="33" customHeight="1">
      <x:c r="A9" s="2" t="str">
        <x:v>Focused delivery days per week</x:v>
      </x:c>
      <x:c r="B9" s="7" t="n">
        <x:v>5</x:v>
      </x:c>
      <x:c r="C9" s="2"/>
      <x:c r="D9" s="8" t="str">
        <x:v>G4</x:v>
      </x:c>
      <x:c r="E9" s="8" t="str">
        <x:v>Verified complete</x:v>
      </x:c>
      <x:c r="F9" s="2"/>
      <x:c r="G9" s="2"/>
      <x:c r="H9" s="2"/>
    </x:row>
    <x:row r="10" ht="33" customHeight="1">
      <x:c r="A10" s="2" t="str">
        <x:v>Pilot delay / fix allowance (days)</x:v>
      </x:c>
      <x:c r="B10" s="7" t="n">
        <x:v>10</x:v>
      </x:c>
      <x:c r="C10" s="2"/>
      <x:c r="D10" s="8" t="str">
        <x:v>G5–G7</x:v>
      </x:c>
      <x:c r="E10" s="8" t="str">
        <x:v>Pending owner decisions and execution</x:v>
      </x:c>
      <x:c r="F10" s="2"/>
      <x:c r="G10" s="2"/>
      <x:c r="H10" s="2"/>
    </x:row>
    <x:row r="11" ht="33" customHeight="1">
      <x:c r="A11" s="2" t="str">
        <x:v>Pilot observation (calendar weeks)</x:v>
      </x:c>
      <x:c r="B11" s="7" t="n">
        <x:v>4</x:v>
      </x:c>
      <x:c r="C11" s="2"/>
      <x:c r="D11" s="8" t="str">
        <x:v>Main PR approvals</x:v>
      </x:c>
      <x:c r="E11" s="8" t="str">
        <x:v>Temporary zero-review window open</x:v>
      </x:c>
      <x:c r="F11" s="2"/>
      <x:c r="G11" s="2"/>
      <x:c r="H11" s="2"/>
    </x:row>
    <x:row r="12" ht="33" customHeight="1">
      <x:c r="A12" s="2" t="str">
        <x:v>Public delay / fix allowance (days)</x:v>
      </x:c>
      <x:c r="B12" s="7" t="n">
        <x:v>5</x:v>
      </x:c>
      <x:c r="C12" s="2"/>
      <x:c r="D12" s="8" t="str">
        <x:v>Closure</x:v>
      </x:c>
      <x:c r="E12" s="8" t="str">
        <x:v>Two-approval restoration approved; unapplied</x:v>
      </x:c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 ht="25" customHeight="1">
      <x:c r="A14" s="2" t="str">
        <x:v>Forecasts assume one sequential build/review workstream and five focused delivery days a week. This is not measured velocity.</x:v>
      </x:c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 ht="34" customHeight="1">
      <x:c r="A16" s="12" t="str">
        <x:v>Milestone / effort</x:v>
      </x:c>
      <x:c r="B16" s="12" t="str">
        <x:v>Low estimate</x:v>
      </x:c>
      <x:c r="C16" s="12" t="str">
        <x:v>Base estimate</x:v>
      </x:c>
      <x:c r="D16" s="12" t="str">
        <x:v>High estimate</x:v>
      </x:c>
      <x:c r="E16" s="12" t="str">
        <x:v>Definition</x:v>
      </x:c>
      <x:c r="F16" s="2"/>
      <x:c r="G16" s="2"/>
      <x:c r="H16" s="2"/>
    </x:row>
    <x:row r="17" ht="46" customHeight="1">
      <x:c r="A17" s="8" t="str">
        <x:v>Pilot work (delivery days)</x:v>
      </x:c>
      <x:c r="B17" s="8" t="n">
        <x:f>IF(COUNT('Workstreams'!F7:F21)=15,SUM('Workstreams'!F7:F21),"Estimate needed")</x:f>
        <x:v>47</x:v>
      </x:c>
      <x:c r="C17" s="8" t="n">
        <x:f>IF(COUNT('Workstreams'!G7:G21)=15,SUM('Workstreams'!G7:G21),"Estimate needed")</x:f>
        <x:v>77</x:v>
      </x:c>
      <x:c r="D17" s="8" t="n">
        <x:f>IF(COUNT('Workstreams'!H7:H21)=15,SUM('Workstreams'!H7:H21),"Estimate needed")</x:f>
        <x:v>136</x:v>
      </x:c>
      <x:c r="E17" s="8" t="str">
        <x:v>One shared estimate per workstream; 70 feature rows are not added together.</x:v>
      </x:c>
      <x:c r="F17" s="2"/>
      <x:c r="G17" s="2"/>
      <x:c r="H17" s="2"/>
    </x:row>
    <x:row r="18" ht="46" customHeight="1">
      <x:c r="A18" s="8" t="str">
        <x:v>Public extra work (delivery days)</x:v>
      </x:c>
      <x:c r="B18" s="8" t="n">
        <x:f>IF(COUNT('Workstreams'!F22:F24)=3,SUM('Workstreams'!F22:F24),"Estimate needed")</x:f>
        <x:v>7</x:v>
      </x:c>
      <x:c r="C18" s="8" t="n">
        <x:f>IF(COUNT('Workstreams'!G22:G24)=3,SUM('Workstreams'!G22:G24),"Estimate needed")</x:f>
        <x:v>15</x:v>
      </x:c>
      <x:c r="D18" s="8" t="n">
        <x:f>IF(COUNT('Workstreams'!H22:H24)=3,SUM('Workstreams'!H22:H24),"Estimate needed")</x:f>
        <x:v>27</x:v>
      </x:c>
      <x:c r="E18" s="8" t="str">
        <x:v>Feedback fixes, commercial readiness and final acceptance after pilot observation.</x:v>
      </x:c>
      <x:c r="F18" s="2"/>
      <x:c r="G18" s="2"/>
      <x:c r="H18" s="2"/>
    </x:row>
    <x:row r="19" ht="46" customHeight="1">
      <x:c r="A19" s="8"/>
      <x:c r="B19" s="8"/>
      <x:c r="C19" s="8"/>
      <x:c r="D19" s="8"/>
      <x:c r="E19" s="8"/>
      <x:c r="F19" s="2"/>
      <x:c r="G19" s="2"/>
      <x:c r="H19" s="2"/>
    </x:row>
    <x:row r="20" ht="46" customHeight="1">
      <x:c r="A20" s="8" t="str">
        <x:v>Private pilot target</x:v>
      </x:c>
      <x:c r="B20" s="13" t="n">
        <x:f>IF(OR(COUNT($B$8:$B$10)&lt;&gt;3,$B$9&lt;=0),"Inputs needed",IF(ISNUMBER(B17),$B$8+7*CEILING((B17+$B$10)/$B$9,1),"Estimate needed"))</x:f>
        <x:v>46398</x:v>
      </x:c>
      <x:c r="C20" s="13" t="n">
        <x:f>IF(OR(COUNT($B$8:$B$10)&lt;&gt;3,$B$9&lt;=0),"Inputs needed",IF(ISNUMBER(C17),$B$8+7*CEILING((C17+$B$10)/$B$9,1),"Estimate needed"))</x:f>
        <x:v>46440</x:v>
      </x:c>
      <x:c r="D20" s="13" t="n">
        <x:f>IF(OR(COUNT($B$8:$B$10)&lt;&gt;3,$B$9&lt;=0),"Inputs needed",IF(ISNUMBER(D17),$B$8+7*CEILING((D17+$B$10)/$B$9,1),"Estimate needed"))</x:f>
        <x:v>46524</x:v>
      </x:c>
      <x:c r="E20" s="8" t="str">
        <x:v>Forecast Monday after estimated pilot work and allowance. All pilot acceptance gates must pass.</x:v>
      </x:c>
      <x:c r="F20" s="2"/>
      <x:c r="G20" s="2"/>
      <x:c r="H20" s="2"/>
    </x:row>
    <x:row r="21" ht="46" customHeight="1">
      <x:c r="A21" s="8" t="str">
        <x:v>Public release target</x:v>
      </x:c>
      <x:c r="B21" s="13" t="n">
        <x:f>IF(OR(COUNT($B$9:$B$12)&lt;&gt;4,$B$9&lt;=0),"Inputs needed",IF(AND(ISNUMBER(B20),ISNUMBER(B18)),B20+7*$B$11+7*CEILING((B18+$B$12)/$B$9,1),"Estimate needed"))</x:f>
        <x:v>46447</x:v>
      </x:c>
      <x:c r="C21" s="13" t="n">
        <x:f>IF(OR(COUNT($B$9:$B$12)&lt;&gt;4,$B$9&lt;=0),"Inputs needed",IF(AND(ISNUMBER(C20),ISNUMBER(C18)),C20+7*$B$11+7*CEILING((C18+$B$12)/$B$9,1),"Estimate needed"))</x:f>
        <x:v>46496</x:v>
      </x:c>
      <x:c r="D21" s="13" t="n">
        <x:f>IF(OR(COUNT($B$9:$B$12)&lt;&gt;4,$B$9&lt;=0),"Inputs needed",IF(AND(ISNUMBER(D20),ISNUMBER(D18)),D20+7*$B$11+7*CEILING((D18+$B$12)/$B$9,1),"Estimate needed"))</x:f>
        <x:v>46601</x:v>
      </x:c>
      <x:c r="E21" s="8" t="str">
        <x:v>Adds observation weeks, public work and public allowance. Not a committed or approved release.</x:v>
      </x:c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 t="str">
        <x:v>Forecast confidence</x:v>
      </x:c>
      <x:c r="B23" s="2" t="str">
        <x:v>Low until scope, capacity and accepted end-to-end delivery are confirmed.</x:v>
      </x:c>
      <x:c r="C23" s="2"/>
      <x:c r="D23" s="2"/>
      <x:c r="E23" s="2"/>
      <x:c r="F23" s="2"/>
      <x:c r="G23" s="2"/>
      <x:c r="H23" s="2"/>
    </x:row>
    <x:row r="24">
      <x:c r="A24" s="2" t="str">
        <x:v>Weekly view coverage</x:v>
      </x:c>
      <x:c r="B24" s="2" t="str">
        <x:f>IF(ISNUMBER($C$21),IF($C$21&gt;'Weekly schedule'!$BD$6,"Extend weekly columns beyond the current view","52-week view covers the base target"),"Inputs needed")</x:f>
        <x:v>52-week view covers the base target</x:v>
      </x:c>
      <x:c r="C24" s="2"/>
      <x:c r="D24" s="2"/>
      <x:c r="E24" s="2"/>
      <x:c r="F24" s="2"/>
      <x:c r="G24" s="2"/>
      <x:c r="H24" s="2"/>
    </x:row>
    <x:row r="25">
      <x:c r="A25" s="2" t="str">
        <x:v>Immediate owner decision</x:v>
      </x:c>
      <x:c r="B25" s="2" t="str">
        <x:v>G5: exact PR26 acceptance and one ordinary merge. This plan does not grant that approval.</x:v>
      </x:c>
      <x:c r="C25" s="2"/>
      <x:c r="D25" s="2"/>
      <x:c r="E25" s="2"/>
      <x:c r="F25" s="2"/>
      <x:c r="G25" s="2"/>
      <x:c r="H25" s="2"/>
    </x:row>
    <x:row r="26">
      <x:c r="A26" s="2" t="str">
        <x:v>Next planning checkpoint</x:v>
      </x:c>
      <x:c r="B26" s="2" t="str">
        <x:v>Reforecast after the first accepted invoice-to-ledger-to-report journey and two weekly delivery reviews.</x:v>
      </x:c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 ht="34" customHeight="1">
      <x:c r="A28" s="12" t="str">
        <x:v>Finding</x:v>
      </x:c>
      <x:c r="B28" s="12" t="str">
        <x:v>Issue</x:v>
      </x:c>
      <x:c r="C28" s="12" t="str">
        <x:v>State</x:v>
      </x:c>
      <x:c r="D28" s="12" t="str">
        <x:v>Workstream</x:v>
      </x:c>
      <x:c r="E28" s="12" t="str">
        <x:v>Required response</x:v>
      </x:c>
      <x:c r="F28" s="2"/>
      <x:c r="G28" s="2"/>
      <x:c r="H28" s="2"/>
    </x:row>
    <x:row r="29" ht="78" customHeight="1">
      <x:c r="A29" s="8" t="str">
        <x:v>B01</x:v>
      </x:c>
      <x:c r="B29" s="8" t="str">
        <x:v>Posting succeeds without accounting effect</x:v>
      </x:c>
      <x:c r="C29" s="8" t="str">
        <x:v>Release blocker</x:v>
      </x:c>
      <x:c r="D29" s="8" t="str">
        <x:v>W05</x:v>
      </x:c>
      <x:c r="E29" s="8" t="str">
        <x:v>Invoice/bill status updates and journal-generation success response do not call canonical posting.</x:v>
      </x:c>
      <x:c r="F29" s="2"/>
      <x:c r="G29" s="2"/>
      <x:c r="H29" s="2"/>
    </x:row>
    <x:row r="30" ht="78" customHeight="1">
      <x:c r="A30" s="8" t="str">
        <x:v>B02</x:v>
      </x:c>
      <x:c r="B30" s="8" t="str">
        <x:v>Financial reports use incompatible legacy data</x:v>
      </x:c>
      <x:c r="C30" s="8" t="str">
        <x:v>Release blocker</x:v>
      </x:c>
      <x:c r="D30" s="8" t="str">
        <x:v>W09</x:v>
      </x:c>
      <x:c r="E30" s="8" t="str">
        <x:v>Schema-shaped report probes returned zero P&amp;L/TB totals; string-money inputs produced NaN or concatenated totals. Reports also load legacy entities.</x:v>
      </x:c>
      <x:c r="F30" s="2"/>
      <x:c r="G30" s="2"/>
      <x:c r="H30" s="2"/>
    </x:row>
    <x:row r="31" ht="78" customHeight="1">
      <x:c r="A31" s="8" t="str">
        <x:v>B03</x:v>
      </x:c>
      <x:c r="B31" s="8" t="str">
        <x:v>Financial and role inputs remain broadly writable</x:v>
      </x:c>
      <x:c r="C31" s="8" t="str">
        <x:v>Release blocker</x:v>
      </x:c>
      <x:c r="D31" s="8" t="str">
        <x:v>W03</x:v>
      </x:c>
      <x:c r="E31" s="8" t="str">
        <x:v>Membership role input is not allowlisted; generic entity writes accept broad invoice fields and mainly reject read_only.</x:v>
      </x:c>
      <x:c r="F31" s="2"/>
      <x:c r="G31" s="2"/>
      <x:c r="H31" s="2"/>
    </x:row>
    <x:row r="32" ht="78" customHeight="1">
      <x:c r="A32" s="8" t="str">
        <x:v>B04</x:v>
      </x:c>
      <x:c r="B32" s="8" t="str">
        <x:v>VAT approval can use persisted stale evidence</x:v>
      </x:c>
      <x:c r="C32" s="8" t="str">
        <x:v>Release blocker</x:v>
      </x:c>
      <x:c r="D32" s="8" t="str">
        <x:v>W08</x:v>
      </x:c>
      <x:c r="E32" s="8" t="str">
        <x:v>Source/context revalidation is not performed in approveVATReturn transaction.</x:v>
      </x:c>
      <x:c r="F32" s="2"/>
      <x:c r="G32" s="2"/>
      <x:c r="H32" s="2"/>
    </x:row>
    <x:row r="33" ht="78" customHeight="1">
      <x:c r="A33" s="8" t="str">
        <x:v>B05</x:v>
      </x:c>
      <x:c r="B33" s="8" t="str">
        <x:v>Full customer journeys and production recovery unverified</x:v>
      </x:c>
      <x:c r="C33" s="8" t="str">
        <x:v>Evidence gap</x:v>
      </x:c>
      <x:c r="D33" s="8" t="str">
        <x:v>W13 / W14</x:v>
      </x:c>
      <x:c r="E33" s="8" t="str">
        <x:v>Current assessment contains static review and in-memory probes, not authenticated business journeys, database promotion or a production restore.</x:v>
      </x:c>
      <x:c r="F33" s="2"/>
      <x:c r="G33" s="2"/>
      <x:c r="H33" s="2"/>
    </x:row>
    <x:row r="34" ht="78" customHeight="1">
      <x:c r="A34" s="8" t="str">
        <x:v>B06</x:v>
      </x:c>
      <x:c r="B34" s="8" t="str">
        <x:v>Durable upload and provider integration incomplete</x:v>
      </x:c>
      <x:c r="C34" s="8" t="str">
        <x:v>Scope / implementation gap</x:v>
      </x:c>
      <x:c r="D34" s="8" t="str">
        <x:v>W10 / D02</x:v>
      </x:c>
      <x:c r="E34" s="8" t="str">
        <x:v>Compatibility upload, extraction and email methods are stubs; other actual AI services exist. Provider choices remain explicit.</x:v>
      </x:c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 ht="34" customHeight="1">
      <x:c r="A37" s="12" t="str">
        <x:v>Decision</x:v>
      </x:c>
      <x:c r="B37" s="12" t="str">
        <x:v>Subject</x:v>
      </x:c>
      <x:c r="C37" s="12" t="str">
        <x:v>Owner</x:v>
      </x:c>
      <x:c r="D37" s="12" t="str">
        <x:v>State</x:v>
      </x:c>
      <x:c r="E37" s="12" t="str">
        <x:v>Decision needed</x:v>
      </x:c>
      <x:c r="F37" s="2"/>
      <x:c r="G37" s="2"/>
      <x:c r="H37" s="2"/>
    </x:row>
    <x:row r="38" ht="88" customHeight="1">
      <x:c r="A38" s="8" t="str">
        <x:v>D01</x:v>
      </x:c>
      <x:c r="B38" s="8" t="str">
        <x:v>Pilot scope and exclusions</x:v>
      </x:c>
      <x:c r="C38" s="8" t="str">
        <x:v>Lee</x:v>
      </x:c>
      <x:c r="D38" s="8" t="str">
        <x:v>Pending</x:v>
      </x:c>
      <x:c r="E38" s="8" t="str">
        <x:v>Confirm private pilot versus public first; approved UK/GBP core scope retained. Extra contacts/items/quotes/orders/live banking/HMRC filing remain separate choices.</x:v>
      </x:c>
      <x:c r="F38" s="2"/>
      <x:c r="G38" s="2"/>
      <x:c r="H38" s="2"/>
    </x:row>
    <x:row r="39" ht="88" customHeight="1">
      <x:c r="A39" s="8" t="str">
        <x:v>D02</x:v>
      </x:c>
      <x:c r="B39" s="8" t="str">
        <x:v>Providers and optional automation</x:v>
      </x:c>
      <x:c r="C39" s="8" t="str">
        <x:v>Lee</x:v>
      </x:c>
      <x:c r="D39" s="8" t="str">
        <x:v>Pending</x:v>
      </x:c>
      <x:c r="E39" s="8" t="str">
        <x:v>Confirm durable storage and invoice delivery boundary. Choose whether OCR/email/notifications/recurring generation are launch requirements before adding estimates.</x:v>
      </x:c>
      <x:c r="F39" s="2"/>
      <x:c r="G39" s="2"/>
      <x:c r="H39" s="2"/>
    </x:row>
    <x:row r="40" ht="88" customHeight="1">
      <x:c r="A40" s="8" t="str">
        <x:v>D03</x:v>
      </x:c>
      <x:c r="B40" s="8" t="str">
        <x:v>Delivery capacity</x:v>
      </x:c>
      <x:c r="C40" s="8" t="str">
        <x:v>Lee</x:v>
      </x:c>
      <x:c r="D40" s="8" t="str">
        <x:v>Pending</x:v>
      </x:c>
      <x:c r="E40" s="8" t="str">
        <x:v>Default model assumes five focused delivery days per week across the named build/review work, not five days of owner availability. Replace with observed capacity.</x:v>
      </x:c>
      <x:c r="F40" s="2"/>
      <x:c r="G40" s="2"/>
      <x:c r="H40" s="2"/>
    </x:row>
    <x:row r="41" ht="88" customHeight="1">
      <x:c r="A41" s="8" t="str">
        <x:v>D04</x:v>
      </x:c>
      <x:c r="B41" s="8" t="str">
        <x:v>G5 exact PR acceptance and ordinary merge</x:v>
      </x:c>
      <x:c r="C41" s="8" t="str">
        <x:v>Lee</x:v>
      </x:c>
      <x:c r="D41" s="8" t="str">
        <x:v>Pending</x:v>
      </x:c>
      <x:c r="E41" s="8" t="str">
        <x:v>PR26 remains draft at exact A/B. Current request authorizes assessment/planning only; acceptance and merge are a separate concrete decision.</x:v>
      </x:c>
      <x:c r="F41" s="2"/>
      <x:c r="G41" s="2"/>
      <x:c r="H41" s="2"/>
    </x:row>
    <x:row r="42" ht="88" customHeight="1">
      <x:c r="A42" s="8" t="str">
        <x:v>D05</x:v>
      </x:c>
      <x:c r="B42" s="8" t="str">
        <x:v>G6 exact activated run and normal Environment release</x:v>
      </x:c>
      <x:c r="C42" s="8" t="str">
        <x:v>Lee</x:v>
      </x:c>
      <x:c r="D42" s="8" t="str">
        <x:v>Pending</x:v>
      </x:c>
      <x:c r="E42" s="8" t="str">
        <x:v>Actual merged G does not yet exist. Fresh exact-G/C7 preflight and one specific run/release decision are required.</x:v>
      </x:c>
      <x:c r="F42" s="2"/>
      <x:c r="G42" s="2"/>
      <x:c r="H42" s="2"/>
    </x:row>
    <x:row r="43" ht="88" customHeight="1">
      <x:c r="A43" s="8" t="str">
        <x:v>D06</x:v>
      </x:c>
      <x:c r="B43" s="8" t="str">
        <x:v>G7 result acceptance and exception closure</x:v>
      </x:c>
      <x:c r="C43" s="8" t="str">
        <x:v>Lee</x:v>
      </x:c>
      <x:c r="D43" s="8" t="str">
        <x:v>Pending</x:v>
      </x:c>
      <x:c r="E43" s="8" t="str">
        <x:v>Accept new activated evidence and execute the already approved closure at its applicable condition; preserve historical candidate evidence.</x:v>
      </x:c>
      <x:c r="F43" s="2"/>
      <x:c r="G43" s="2"/>
      <x:c r="H43" s="2"/>
    </x:row>
    <x:row r="44" ht="88" customHeight="1">
      <x:c r="A44" s="8" t="str">
        <x:v>D07</x:v>
      </x:c>
      <x:c r="B44" s="8" t="str">
        <x:v>Pilot data and opening-balance cohort</x:v>
      </x:c>
      <x:c r="C44" s="8" t="str">
        <x:v>Lee + accounting reviewer TBD</x:v>
      </x:c>
      <x:c r="D44" s="8" t="str">
        <x:v>Pending</x:v>
      </x:c>
      <x:c r="E44" s="8" t="str">
        <x:v>Choose new companies or reviewed opening balances. Existing-business historical migration is not silently included.</x:v>
      </x:c>
      <x:c r="F44" s="2"/>
      <x:c r="G44" s="2"/>
      <x:c r="H44" s="2"/>
    </x:row>
    <x:row r="45" ht="88" customHeight="1">
      <x:c r="A45" s="8" t="str">
        <x:v>D08</x:v>
      </x:c>
      <x:c r="B45" s="8" t="str">
        <x:v>Production, accounting, security and release reviewers</x:v>
      </x:c>
      <x:c r="C45" s="8" t="str">
        <x:v>Lee</x:v>
      </x:c>
      <x:c r="D45" s="8" t="str">
        <x:v>Pending</x:v>
      </x:c>
      <x:c r="E45" s="8" t="str">
        <x:v>Name review owners and accept release evidence. The bounded development owner exception does not approve production release.</x:v>
      </x:c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 ht="110" customHeight="1">
      <x:c r="A48" s="2" t="str">
        <x:v>Weekly update</x:v>
      </x:c>
      <x:c r="B48" s="8" t="str">
        <x:v>Change owners, status, approvals and acceptance in Workstreams. Change forecast drivers above.</x:v>
      </x:c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 ht="80" customHeight="1">
      <x:c r="A51" s="2" t="str">
        <x:v>Review boundary</x:v>
      </x:c>
      <x:c r="B51" s="2"/>
      <x:c r="C51" s="2"/>
      <x:c r="D51" s="2"/>
      <x:c r="E51" s="8" t="str">
        <x:v>Exact workspace source plus pure synthetic probes. Live customer, database and deployment journeys remain unverified.</x:v>
      </x:c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</x:sheetData>
  <x:conditionalFormatting sqref="C29:C34">
    <x:cfRule type="containsText" dxfId="0" priority="1" operator="containsText" text="Release blocker"/>
    <x:cfRule type="containsText" dxfId="1" priority="2" operator="containsText" text="Blocked integration"/>
    <x:cfRule type="containsText" dxfId="2" priority="3" operator="containsText" text="Pending"/>
    <x:cfRule type="containsText" dxfId="3" priority="4" operator="containsText" text="Awaiting"/>
  </x:conditionalFormatting>
  <x:conditionalFormatting sqref="D38:D45">
    <x:cfRule type="containsText" dxfId="4" priority="5" operator="containsText" text="Release blocker"/>
    <x:cfRule type="containsText" dxfId="5" priority="6" operator="containsText" text="Blocked integration"/>
    <x:cfRule type="containsText" dxfId="6" priority="7" operator="containsText" text="Pending"/>
    <x:cfRule type="containsText" dxfId="7" priority="8" operator="containsText" text="Awaiting"/>
  </x:conditionalFormatting>
  <x:dataValidations count="2">
    <x:dataValidation type="decimal" operator="between" sqref="B9">
      <x:formula1>0.5</x:formula1>
      <x:formula2>5</x:formula2>
    </x:dataValidation>
    <x:dataValidation type="whole" operator="between" sqref="B10:B12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" hidden="0" customWidth="1"/>
    <x:col min="2" max="2" width="40" hidden="0" customWidth="1"/>
    <x:col min="3" max="3" width="12" hidden="0" customWidth="1"/>
    <x:col min="4" max="4" width="25" hidden="0" customWidth="1"/>
    <x:col min="5" max="5" width="29" hidden="0" customWidth="1"/>
    <x:col min="6" max="6" width="11" hidden="0" customWidth="1"/>
    <x:col min="7" max="7" width="11" hidden="0" customWidth="1"/>
    <x:col min="8" max="8" width="11" hidden="0" customWidth="1"/>
    <x:col min="9" max="9" width="14" hidden="0" customWidth="1"/>
    <x:col min="10" max="10" width="15" hidden="0" customWidth="1"/>
    <x:col min="11" max="11" width="15" hidden="0" customWidth="1"/>
    <x:col min="12" max="12" width="17" hidden="0" customWidth="1"/>
    <x:col min="13" max="13" width="17" hidden="0" customWidth="1"/>
    <x:col min="14" max="14" width="17" hidden="0" customWidth="1"/>
    <x:col min="15" max="15" width="70" hidden="0" customWidth="1"/>
    <x:col min="16" max="16" width="3" hidden="0" customWidth="1"/>
    <x:col min="17" max="17" width="15" hidden="0" customWidth="1"/>
    <x:col min="18" max="18" width="2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6" customHeight="1">
      <x:c r="A2" s="3" t="str">
        <x:v>Remaining workstreams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 t="str">
        <x:v>Keep W01–W18 order. Filtering is safe. Owners and estimates are proposed; pending execution approvals remain separate.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34" customHeight="1">
      <x:c r="A6" s="12" t="str">
        <x:v>ID</x:v>
      </x:c>
      <x:c r="B6" s="12" t="str">
        <x:v>Workstream</x:v>
      </x:c>
      <x:c r="C6" s="12" t="str">
        <x:v>Stage</x:v>
      </x:c>
      <x:c r="D6" s="12" t="str">
        <x:v>Proposed owner</x:v>
      </x:c>
      <x:c r="E6" s="12" t="str">
        <x:v>Acceptance owner</x:v>
      </x:c>
      <x:c r="F6" s="12" t="str">
        <x:v>Low days</x:v>
      </x:c>
      <x:c r="G6" s="12" t="str">
        <x:v>Base days</x:v>
      </x:c>
      <x:c r="H6" s="12" t="str">
        <x:v>High days</x:v>
      </x:c>
      <x:c r="I6" s="12" t="str">
        <x:v>Depends on</x:v>
      </x:c>
      <x:c r="J6" s="12" t="str">
        <x:v>Status</x:v>
      </x:c>
      <x:c r="K6" s="12" t="str">
        <x:v>Approval</x:v>
      </x:c>
      <x:c r="L6" s="12" t="str">
        <x:v>Acceptance</x:v>
      </x:c>
      <x:c r="M6" s="12" t="str">
        <x:v>Start week</x:v>
      </x:c>
      <x:c r="N6" s="12" t="str">
        <x:v>Finish week</x:v>
      </x:c>
      <x:c r="O6" s="12" t="str">
        <x:v>Complete when</x:v>
      </x:c>
      <x:c r="P6" s="2" t="str"/>
      <x:c r="Q6" s="2" t="str"/>
      <x:c r="R6" s="12" t="str">
        <x:v>Review state</x:v>
      </x:c>
    </x:row>
    <x:row r="7" ht="72" customHeight="1">
      <x:c r="A7" s="8" t="str">
        <x:v>W01</x:v>
      </x:c>
      <x:c r="B7" s="8" t="str">
        <x:v>Confirm pilot scope, capacity and release reviews</x:v>
      </x:c>
      <x:c r="C7" s="8" t="str">
        <x:v>Pilot</x:v>
      </x:c>
      <x:c r="D7" s="14" t="str">
        <x:v>Lee</x:v>
      </x:c>
      <x:c r="E7" s="14" t="str">
        <x:v>Lee</x:v>
      </x:c>
      <x:c r="F7" s="15" t="n">
        <x:v>1</x:v>
      </x:c>
      <x:c r="G7" s="15" t="n">
        <x:v>1</x:v>
      </x:c>
      <x:c r="H7" s="15" t="n">
        <x:v>2</x:v>
      </x:c>
      <x:c r="I7" s="8" t="str"/>
      <x:c r="J7" s="14" t="str">
        <x:v>Not started</x:v>
      </x:c>
      <x:c r="K7" s="14" t="str">
        <x:v>Pending</x:v>
      </x:c>
      <x:c r="L7" s="14" t="str">
        <x:v>Not verified</x:v>
      </x:c>
      <x:c r="M7" s="13" t="n">
        <x:f>IF(AND('Launch plan'!$B$9&gt;0,ISNUMBER('Launch plan'!$B$8),COUNT($G$7:G7)=1),'Launch plan'!$B$8+7*INT(0/'Launch plan'!$B$9),"Inputs needed")</x:f>
        <x:v>46314</x:v>
      </x:c>
      <x:c r="N7" s="13" t="n">
        <x:f>IF(AND('Launch plan'!$B$9&gt;0,ISNUMBER('Launch plan'!$B$8),COUNT($G$7:G7)=1),MAX(M7,'Launch plan'!$B$8+7*(CEILING(SUM($G$7:G7)/'Launch plan'!$B$9,1)-1)),"Inputs needed")</x:f>
        <x:v>46314</x:v>
      </x:c>
      <x:c r="O7" s="8" t="str">
        <x:v>Named pilot scope, working capacity, exclusions and review owners recorded. G1 development exception is not production authority.</x:v>
      </x:c>
      <x:c r="P7" s="2"/>
      <x:c r="Q7" s="2"/>
      <x:c r="R7" s="2" t="str">
        <x:f>IF(AND(J7="Complete",K7="Approved",L7="Accepted"),"Accepted",IF(K7&lt;&gt;"Approved","Awaiting approval",IF(J7="Complete","Awaiting acceptance","Planned")))</x:f>
        <x:v>Awaiting approval</x:v>
      </x:c>
    </x:row>
    <x:row r="8" ht="72" customHeight="1">
      <x:c r="A8" s="8" t="str">
        <x:v>W02</x:v>
      </x:c>
      <x:c r="B8" s="8" t="str">
        <x:v>Complete G5–G7 development activation and closure</x:v>
      </x:c>
      <x:c r="C8" s="8" t="str">
        <x:v>Pilot</x:v>
      </x:c>
      <x:c r="D8" s="14" t="str">
        <x:v>Replit + Codex</x:v>
      </x:c>
      <x:c r="E8" s="14" t="str">
        <x:v>Lee</x:v>
      </x:c>
      <x:c r="F8" s="15" t="n">
        <x:v>1</x:v>
      </x:c>
      <x:c r="G8" s="15" t="n">
        <x:v>2</x:v>
      </x:c>
      <x:c r="H8" s="15" t="n">
        <x:v>5</x:v>
      </x:c>
      <x:c r="I8" s="8" t="str">
        <x:v>W01</x:v>
      </x:c>
      <x:c r="J8" s="14" t="str">
        <x:v>Not started</x:v>
      </x:c>
      <x:c r="K8" s="14" t="str">
        <x:v>Pending</x:v>
      </x:c>
      <x:c r="L8" s="14" t="str">
        <x:v>Not verified</x:v>
      </x:c>
      <x:c r="M8" s="13" t="n">
        <x:f>IF(AND('Launch plan'!$B$9&gt;0,ISNUMBER('Launch plan'!$B$8),COUNT($G$7:G8)=2),'Launch plan'!$B$8+7*INT(SUM($G$7:G7)/'Launch plan'!$B$9),"Inputs needed")</x:f>
        <x:v>46314</x:v>
      </x:c>
      <x:c r="N8" s="13" t="n">
        <x:f>IF(AND('Launch plan'!$B$9&gt;0,ISNUMBER('Launch plan'!$B$8),COUNT($G$7:G8)=2),MAX(M8,'Launch plan'!$B$8+7*(CEILING(SUM($G$7:G8)/'Launch plan'!$B$9,1)-1)),"Inputs needed")</x:f>
        <x:v>46314</x:v>
      </x:c>
      <x:c r="O8" s="8" t="str">
        <x:v>Accept exact PR26 A/B, separately authorize ordinary merge and one exact-G qualification/release, verify results, accept and apply the approved closure when triggered.</x:v>
      </x:c>
      <x:c r="P8" s="2"/>
      <x:c r="Q8" s="2"/>
      <x:c r="R8" s="2" t="str">
        <x:f>IF(AND(J8="Complete",K8="Approved",L8="Accepted"),"Accepted",IF(K8&lt;&gt;"Approved","Awaiting approval",IF(J8="Complete","Awaiting acceptance","Planned")))</x:f>
        <x:v>Awaiting approval</x:v>
      </x:c>
    </x:row>
    <x:row r="9" ht="72" customHeight="1">
      <x:c r="A9" s="8" t="str">
        <x:v>W03</x:v>
      </x:c>
      <x:c r="B9" s="8" t="str">
        <x:v>Roles, write contracts and server money calculations</x:v>
      </x:c>
      <x:c r="C9" s="8" t="str">
        <x:v>Pilot</x:v>
      </x:c>
      <x:c r="D9" s="14" t="str">
        <x:v>Replit + Codex</x:v>
      </x:c>
      <x:c r="E9" s="14" t="str">
        <x:v>Lee + security reviewer TBD</x:v>
      </x:c>
      <x:c r="F9" s="15" t="n">
        <x:v>5</x:v>
      </x:c>
      <x:c r="G9" s="15" t="n">
        <x:v>8</x:v>
      </x:c>
      <x:c r="H9" s="15" t="n">
        <x:v>13</x:v>
      </x:c>
      <x:c r="I9" s="8" t="str">
        <x:v>W02</x:v>
      </x:c>
      <x:c r="J9" s="14" t="str">
        <x:v>Not started</x:v>
      </x:c>
      <x:c r="K9" s="14" t="str">
        <x:v>Pending</x:v>
      </x:c>
      <x:c r="L9" s="14" t="str">
        <x:v>Not verified</x:v>
      </x:c>
      <x:c r="M9" s="13" t="n">
        <x:f>IF(AND('Launch plan'!$B$9&gt;0,ISNUMBER('Launch plan'!$B$8),COUNT($G$7:G9)=3),'Launch plan'!$B$8+7*INT(SUM($G$7:G8)/'Launch plan'!$B$9),"Inputs needed")</x:f>
        <x:v>46314</x:v>
      </x:c>
      <x:c r="N9" s="13" t="n">
        <x:f>IF(AND('Launch plan'!$B$9&gt;0,ISNUMBER('Launch plan'!$B$8),COUNT($G$7:G9)=3),MAX(M9,'Launch plan'!$B$8+7*(CEILING(SUM($G$7:G9)/'Launch plan'!$B$9,1)-1)),"Inputs needed")</x:f>
        <x:v>46328</x:v>
      </x:c>
      <x:c r="O9" s="8" t="str">
        <x:v>Unknown roles/fields, revoked/cross-company access and crafted totals are rejected. Server money/rounding and typed error contracts pass authenticated HTTP tests.</x:v>
      </x:c>
      <x:c r="P9" s="2"/>
      <x:c r="Q9" s="2"/>
      <x:c r="R9" s="2" t="str">
        <x:f>IF(AND(J9="Complete",K9="Approved",L9="Accepted"),"Accepted",IF(K9&lt;&gt;"Approved","Awaiting approval",IF(J9="Complete","Awaiting acceptance","Planned")))</x:f>
        <x:v>Awaiting approval</x:v>
      </x:c>
    </x:row>
    <x:row r="10" ht="72" customHeight="1">
      <x:c r="A10" s="8" t="str">
        <x:v>W04</x:v>
      </x:c>
      <x:c r="B10" s="8" t="str">
        <x:v>Posting providers, accounts, configuration and periods</x:v>
      </x:c>
      <x:c r="C10" s="8" t="str">
        <x:v>Pilot</x:v>
      </x:c>
      <x:c r="D10" s="14" t="str">
        <x:v>Replit + Codex</x:v>
      </x:c>
      <x:c r="E10" s="14" t="str">
        <x:v>Lee + accounting reviewer TBD</x:v>
      </x:c>
      <x:c r="F10" s="15" t="n">
        <x:v>5</x:v>
      </x:c>
      <x:c r="G10" s="15" t="n">
        <x:v>8</x:v>
      </x:c>
      <x:c r="H10" s="15" t="n">
        <x:v>14</x:v>
      </x:c>
      <x:c r="I10" s="8" t="str">
        <x:v>W03</x:v>
      </x:c>
      <x:c r="J10" s="14" t="str">
        <x:v>Not started</x:v>
      </x:c>
      <x:c r="K10" s="14" t="str">
        <x:v>Pending</x:v>
      </x:c>
      <x:c r="L10" s="14" t="str">
        <x:v>Not verified</x:v>
      </x:c>
      <x:c r="M10" s="13" t="n">
        <x:f>IF(AND('Launch plan'!$B$9&gt;0,ISNUMBER('Launch plan'!$B$8),COUNT($G$7:G10)=4),'Launch plan'!$B$8+7*INT(SUM($G$7:G9)/'Launch plan'!$B$9),"Inputs needed")</x:f>
        <x:v>46328</x:v>
      </x:c>
      <x:c r="N10" s="13" t="n">
        <x:f>IF(AND('Launch plan'!$B$9&gt;0,ISNUMBER('Launch plan'!$B$8),COUNT($G$7:G10)=4),MAX(M10,'Launch plan'!$B$8+7*(CEILING(SUM($G$7:G10)/'Launch plan'!$B$9,1)-1)),"Inputs needed")</x:f>
        <x:v>46335</x:v>
      </x:c>
      <x:c r="O10" s="8" t="str">
        <x:v>Production-capable transaction-bound source/context providers, protected account mappings, fiscal periods and controlled close/reopen pass safety and configuration tests.</x:v>
      </x:c>
      <x:c r="P10" s="2"/>
      <x:c r="Q10" s="2"/>
      <x:c r="R10" s="2" t="str">
        <x:f>IF(AND(J10="Complete",K10="Approved",L10="Accepted"),"Accepted",IF(K10&lt;&gt;"Approved","Awaiting approval",IF(J10="Complete","Awaiting acceptance","Planned")))</x:f>
        <x:v>Awaiting approval</x:v>
      </x:c>
    </x:row>
    <x:row r="11" ht="72" customHeight="1">
      <x:c r="A11" s="8" t="str">
        <x:v>W05</x:v>
      </x:c>
      <x:c r="B11" s="8" t="str">
        <x:v>Canonical invoice and bill lifecycle</x:v>
      </x:c>
      <x:c r="C11" s="8" t="str">
        <x:v>Pilot</x:v>
      </x:c>
      <x:c r="D11" s="14" t="str">
        <x:v>Replit + Codex</x:v>
      </x:c>
      <x:c r="E11" s="14" t="str">
        <x:v>Lee + accounting reviewer TBD</x:v>
      </x:c>
      <x:c r="F11" s="15" t="n">
        <x:v>3</x:v>
      </x:c>
      <x:c r="G11" s="15" t="n">
        <x:v>5</x:v>
      </x:c>
      <x:c r="H11" s="15" t="n">
        <x:v>9</x:v>
      </x:c>
      <x:c r="I11" s="8" t="str">
        <x:v>W04</x:v>
      </x:c>
      <x:c r="J11" s="14" t="str">
        <x:v>Not started</x:v>
      </x:c>
      <x:c r="K11" s="14" t="str">
        <x:v>Pending</x:v>
      </x:c>
      <x:c r="L11" s="14" t="str">
        <x:v>Not verified</x:v>
      </x:c>
      <x:c r="M11" s="13" t="n">
        <x:f>IF(AND('Launch plan'!$B$9&gt;0,ISNUMBER('Launch plan'!$B$8),COUNT($G$7:G11)=5),'Launch plan'!$B$8+7*INT(SUM($G$7:G10)/'Launch plan'!$B$9),"Inputs needed")</x:f>
        <x:v>46335</x:v>
      </x:c>
      <x:c r="N11" s="13" t="n">
        <x:f>IF(AND('Launch plan'!$B$9&gt;0,ISNUMBER('Launch plan'!$B$8),COUNT($G$7:G11)=5),MAX(M11,'Launch plan'!$B$8+7*(CEILING(SUM($G$7:G11)/'Launch plan'!$B$9,1)-1)),"Inputs needed")</x:f>
        <x:v>46342</x:v>
      </x:c>
      <x:c r="O11" s="8" t="str">
        <x:v>Create, approve and post both source types with balanced AR/AP/revenue/cost/VAT, source freshness, idempotency, immutability and explicit failure states.</x:v>
      </x:c>
      <x:c r="P11" s="2"/>
      <x:c r="Q11" s="2"/>
      <x:c r="R11" s="2" t="str">
        <x:f>IF(AND(J11="Complete",K11="Approved",L11="Accepted"),"Accepted",IF(K11&lt;&gt;"Approved","Awaiting approval",IF(J11="Complete","Awaiting acceptance","Planned")))</x:f>
        <x:v>Awaiting approval</x:v>
      </x:c>
    </x:row>
    <x:row r="12" ht="72" customHeight="1">
      <x:c r="A12" s="8" t="str">
        <x:v>W06</x:v>
      </x:c>
      <x:c r="B12" s="8" t="str">
        <x:v>Payments, allocation, credits, refunds and statements</x:v>
      </x:c>
      <x:c r="C12" s="8" t="str">
        <x:v>Pilot</x:v>
      </x:c>
      <x:c r="D12" s="14" t="str">
        <x:v>Replit + Codex</x:v>
      </x:c>
      <x:c r="E12" s="14" t="str">
        <x:v>Lee + accounting reviewer TBD</x:v>
      </x:c>
      <x:c r="F12" s="15" t="n">
        <x:v>4</x:v>
      </x:c>
      <x:c r="G12" s="15" t="n">
        <x:v>7</x:v>
      </x:c>
      <x:c r="H12" s="15" t="n">
        <x:v>12</x:v>
      </x:c>
      <x:c r="I12" s="8" t="str">
        <x:v>W05</x:v>
      </x:c>
      <x:c r="J12" s="14" t="str">
        <x:v>Not started</x:v>
      </x:c>
      <x:c r="K12" s="14" t="str">
        <x:v>Pending</x:v>
      </x:c>
      <x:c r="L12" s="14" t="str">
        <x:v>Not verified</x:v>
      </x:c>
      <x:c r="M12" s="13" t="n">
        <x:f>IF(AND('Launch plan'!$B$9&gt;0,ISNUMBER('Launch plan'!$B$8),COUNT($G$7:G12)=6),'Launch plan'!$B$8+7*INT(SUM($G$7:G11)/'Launch plan'!$B$9),"Inputs needed")</x:f>
        <x:v>46342</x:v>
      </x:c>
      <x:c r="N12" s="13" t="n">
        <x:f>IF(AND('Launch plan'!$B$9&gt;0,ISNUMBER('Launch plan'!$B$8),COUNT($G$7:G12)=6),MAX(M12,'Launch plan'!$B$8+7*(CEILING(SUM($G$7:G12)/'Launch plan'!$B$9,1)-1)),"Inputs needed")</x:f>
        <x:v>46356</x:v>
      </x:c>
      <x:c r="O12" s="8" t="str">
        <x:v>Partial/split/excess payments, allocation/reversal, credits/refunds and statements reconcile to journals with no duplicate cash effect.</x:v>
      </x:c>
      <x:c r="P12" s="2"/>
      <x:c r="Q12" s="2"/>
      <x:c r="R12" s="2" t="str">
        <x:f>IF(AND(J12="Complete",K12="Approved",L12="Accepted"),"Accepted",IF(K12&lt;&gt;"Approved","Awaiting approval",IF(J12="Complete","Awaiting acceptance","Planned")))</x:f>
        <x:v>Awaiting approval</x:v>
      </x:c>
    </x:row>
    <x:row r="13" ht="72" customHeight="1">
      <x:c r="A13" s="8" t="str">
        <x:v>W07</x:v>
      </x:c>
      <x:c r="B13" s="8" t="str">
        <x:v>CSV banking, categorisation, transfers and reconciliation</x:v>
      </x:c>
      <x:c r="C13" s="8" t="str">
        <x:v>Pilot</x:v>
      </x:c>
      <x:c r="D13" s="14" t="str">
        <x:v>Replit + Codex</x:v>
      </x:c>
      <x:c r="E13" s="14" t="str">
        <x:v>Lee + accounting reviewer TBD</x:v>
      </x:c>
      <x:c r="F13" s="15" t="n">
        <x:v>4</x:v>
      </x:c>
      <x:c r="G13" s="15" t="n">
        <x:v>6</x:v>
      </x:c>
      <x:c r="H13" s="15" t="n">
        <x:v>11</x:v>
      </x:c>
      <x:c r="I13" s="8" t="str">
        <x:v>W06</x:v>
      </x:c>
      <x:c r="J13" s="14" t="str">
        <x:v>Not started</x:v>
      </x:c>
      <x:c r="K13" s="14" t="str">
        <x:v>Pending</x:v>
      </x:c>
      <x:c r="L13" s="14" t="str">
        <x:v>Not verified</x:v>
      </x:c>
      <x:c r="M13" s="13" t="n">
        <x:f>IF(AND('Launch plan'!$B$9&gt;0,ISNUMBER('Launch plan'!$B$8),COUNT($G$7:G13)=7),'Launch plan'!$B$8+7*INT(SUM($G$7:G12)/'Launch plan'!$B$9),"Inputs needed")</x:f>
        <x:v>46356</x:v>
      </x:c>
      <x:c r="N13" s="13" t="n">
        <x:f>IF(AND('Launch plan'!$B$9&gt;0,ISNUMBER('Launch plan'!$B$8),COUNT($G$7:G13)=7),MAX(M13,'Launch plan'!$B$8+7*(CEILING(SUM($G$7:G13)/'Launch plan'!$B$9,1)-1)),"Inputs needed")</x:f>
        <x:v>46363</x:v>
      </x:c>
      <x:c r="O13" s="8" t="str">
        <x:v>Import replay and recovery are safe; approved categories, transfers and matches generate correct single accounting effects with zero transfer income/expense/VAT.</x:v>
      </x:c>
      <x:c r="P13" s="2"/>
      <x:c r="Q13" s="2"/>
      <x:c r="R13" s="2" t="str">
        <x:f>IF(AND(J13="Complete",K13="Approved",L13="Accepted"),"Accepted",IF(K13&lt;&gt;"Approved","Awaiting approval",IF(J13="Complete","Awaiting acceptance","Planned")))</x:f>
        <x:v>Awaiting approval</x:v>
      </x:c>
    </x:row>
    <x:row r="14" ht="72" customHeight="1">
      <x:c r="A14" s="8" t="str">
        <x:v>W08</x:v>
      </x:c>
      <x:c r="B14" s="8" t="str">
        <x:v>VAT freshness, evidence and preparation/export</x:v>
      </x:c>
      <x:c r="C14" s="8" t="str">
        <x:v>Pilot</x:v>
      </x:c>
      <x:c r="D14" s="14" t="str">
        <x:v>Replit + Codex</x:v>
      </x:c>
      <x:c r="E14" s="14" t="str">
        <x:v>Lee + accounting reviewer TBD</x:v>
      </x:c>
      <x:c r="F14" s="15" t="n">
        <x:v>3</x:v>
      </x:c>
      <x:c r="G14" s="15" t="n">
        <x:v>5</x:v>
      </x:c>
      <x:c r="H14" s="15" t="n">
        <x:v>9</x:v>
      </x:c>
      <x:c r="I14" s="8" t="str">
        <x:v>W07</x:v>
      </x:c>
      <x:c r="J14" s="14" t="str">
        <x:v>Not started</x:v>
      </x:c>
      <x:c r="K14" s="14" t="str">
        <x:v>Pending</x:v>
      </x:c>
      <x:c r="L14" s="14" t="str">
        <x:v>Not verified</x:v>
      </x:c>
      <x:c r="M14" s="13" t="n">
        <x:f>IF(AND('Launch plan'!$B$9&gt;0,ISNUMBER('Launch plan'!$B$8),COUNT($G$7:G14)=8),'Launch plan'!$B$8+7*INT(SUM($G$7:G13)/'Launch plan'!$B$9),"Inputs needed")</x:f>
        <x:v>46363</x:v>
      </x:c>
      <x:c r="N14" s="13" t="n">
        <x:f>IF(AND('Launch plan'!$B$9&gt;0,ISNUMBER('Launch plan'!$B$8),COUNT($G$7:G14)=8),MAX(M14,'Launch plan'!$B$8+7*(CEILING(SUM($G$7:G14)/'Launch plan'!$B$9,1)-1)),"Inputs needed")</x:f>
        <x:v>46370</x:v>
      </x:c>
      <x:c r="O14" s="8" t="str">
        <x:v>Standard invoice-basis VAT boxes reconcile; concurrent source changes reject stale approval; versioned evidence/export is complete and labelled prepared/exported.</x:v>
      </x:c>
      <x:c r="P14" s="2"/>
      <x:c r="Q14" s="2"/>
      <x:c r="R14" s="2" t="str">
        <x:f>IF(AND(J14="Complete",K14="Approved",L14="Accepted"),"Accepted",IF(K14&lt;&gt;"Approved","Awaiting approval",IF(J14="Complete","Awaiting acceptance","Planned")))</x:f>
        <x:v>Awaiting approval</x:v>
      </x:c>
    </x:row>
    <x:row r="15" ht="72" customHeight="1">
      <x:c r="A15" s="8" t="str">
        <x:v>W09</x:v>
      </x:c>
      <x:c r="B15" s="8" t="str">
        <x:v>Canonical financial reports, aging and export parity</x:v>
      </x:c>
      <x:c r="C15" s="8" t="str">
        <x:v>Pilot</x:v>
      </x:c>
      <x:c r="D15" s="14" t="str">
        <x:v>Replit + Codex</x:v>
      </x:c>
      <x:c r="E15" s="14" t="str">
        <x:v>Lee + accounting reviewer TBD</x:v>
      </x:c>
      <x:c r="F15" s="15" t="n">
        <x:v>4</x:v>
      </x:c>
      <x:c r="G15" s="15" t="n">
        <x:v>7</x:v>
      </x:c>
      <x:c r="H15" s="15" t="n">
        <x:v>12</x:v>
      </x:c>
      <x:c r="I15" s="8" t="str">
        <x:v>W08</x:v>
      </x:c>
      <x:c r="J15" s="14" t="str">
        <x:v>Not started</x:v>
      </x:c>
      <x:c r="K15" s="14" t="str">
        <x:v>Pending</x:v>
      </x:c>
      <x:c r="L15" s="14" t="str">
        <x:v>Not verified</x:v>
      </x:c>
      <x:c r="M15" s="13" t="n">
        <x:f>IF(AND('Launch plan'!$B$9&gt;0,ISNUMBER('Launch plan'!$B$8),COUNT($G$7:G15)=9),'Launch plan'!$B$8+7*INT(SUM($G$7:G14)/'Launch plan'!$B$9),"Inputs needed")</x:f>
        <x:v>46370</x:v>
      </x:c>
      <x:c r="N15" s="13" t="n">
        <x:f>IF(AND('Launch plan'!$B$9&gt;0,ISNUMBER('Launch plan'!$B$8),COUNT($G$7:G15)=9),MAX(M15,'Launch plan'!$B$8+7*(CEILING(SUM($G$7:G15)/'Launch plan'!$B$9,1)-1)),"Inputs needed")</x:f>
        <x:v>46377</x:v>
      </x:c>
      <x:c r="O15" s="8" t="str">
        <x:v>P&amp;L, Balance Sheet, Trial Balance, GL and AR/AP aging reconcile to posted journals. Schema-shape, decimal strings, dates, pagination and export fixtures pass.</x:v>
      </x:c>
      <x:c r="P15" s="2"/>
      <x:c r="Q15" s="2"/>
      <x:c r="R15" s="2" t="str">
        <x:f>IF(AND(J15="Complete",K15="Approved",L15="Accepted"),"Accepted",IF(K15&lt;&gt;"Approved","Awaiting approval",IF(J15="Complete","Awaiting acceptance","Planned")))</x:f>
        <x:v>Awaiting approval</x:v>
      </x:c>
    </x:row>
    <x:row r="16" ht="72" customHeight="1">
      <x:c r="A16" s="8" t="str">
        <x:v>W10</x:v>
      </x:c>
      <x:c r="B16" s="8" t="str">
        <x:v>Durable documents and issued invoice copies</x:v>
      </x:c>
      <x:c r="C16" s="8" t="str">
        <x:v>Pilot</x:v>
      </x:c>
      <x:c r="D16" s="14" t="str">
        <x:v>Replit + Codex</x:v>
      </x:c>
      <x:c r="E16" s="14" t="str">
        <x:v>Lee</x:v>
      </x:c>
      <x:c r="F16" s="15" t="n">
        <x:v>2</x:v>
      </x:c>
      <x:c r="G16" s="15" t="n">
        <x:v>4</x:v>
      </x:c>
      <x:c r="H16" s="15" t="n">
        <x:v>7</x:v>
      </x:c>
      <x:c r="I16" s="8" t="str">
        <x:v>W09</x:v>
      </x:c>
      <x:c r="J16" s="14" t="str">
        <x:v>Not started</x:v>
      </x:c>
      <x:c r="K16" s="14" t="str">
        <x:v>Pending</x:v>
      </x:c>
      <x:c r="L16" s="14" t="str">
        <x:v>Not verified</x:v>
      </x:c>
      <x:c r="M16" s="13" t="n">
        <x:f>IF(AND('Launch plan'!$B$9&gt;0,ISNUMBER('Launch plan'!$B$8),COUNT($G$7:G16)=10),'Launch plan'!$B$8+7*INT(SUM($G$7:G15)/'Launch plan'!$B$9),"Inputs needed")</x:f>
        <x:v>46377</x:v>
      </x:c>
      <x:c r="N16" s="13" t="n">
        <x:f>IF(AND('Launch plan'!$B$9&gt;0,ISNUMBER('Launch plan'!$B$8),COUNT($G$7:G16)=10),MAX(M16,'Launch plan'!$B$8+7*(CEILING(SUM($G$7:G16)/'Launch plan'!$B$9,1)-1)),"Inputs needed")</x:f>
        <x:v>46384</x:v>
      </x:c>
      <x:c r="O16" s="8" t="str">
        <x:v>Approved storage/document-access design, durable issued PDF copies and safe upload/failure handling verified. OCR/provider email additions need scope review.</x:v>
      </x:c>
      <x:c r="P16" s="2"/>
      <x:c r="Q16" s="2"/>
      <x:c r="R16" s="2" t="str">
        <x:f>IF(AND(J16="Complete",K16="Approved",L16="Accepted"),"Accepted",IF(K16&lt;&gt;"Approved","Awaiting approval",IF(J16="Complete","Awaiting acceptance","Planned")))</x:f>
        <x:v>Awaiting approval</x:v>
      </x:c>
    </x:row>
    <x:row r="17" ht="72" customHeight="1">
      <x:c r="A17" s="8" t="str">
        <x:v>W11</x:v>
      </x:c>
      <x:c r="B17" s="8" t="str">
        <x:v>Onboarding, Ask, core workspaces and recovery UX</x:v>
      </x:c>
      <x:c r="C17" s="8" t="str">
        <x:v>Pilot</x:v>
      </x:c>
      <x:c r="D17" s="14" t="str">
        <x:v>Replit + Codex</x:v>
      </x:c>
      <x:c r="E17" s="14" t="str">
        <x:v>Lee</x:v>
      </x:c>
      <x:c r="F17" s="15" t="n">
        <x:v>3</x:v>
      </x:c>
      <x:c r="G17" s="15" t="n">
        <x:v>5</x:v>
      </x:c>
      <x:c r="H17" s="15" t="n">
        <x:v>9</x:v>
      </x:c>
      <x:c r="I17" s="8" t="str">
        <x:v>W10</x:v>
      </x:c>
      <x:c r="J17" s="14" t="str">
        <x:v>Not started</x:v>
      </x:c>
      <x:c r="K17" s="14" t="str">
        <x:v>Pending</x:v>
      </x:c>
      <x:c r="L17" s="14" t="str">
        <x:v>Not verified</x:v>
      </x:c>
      <x:c r="M17" s="13" t="n">
        <x:f>IF(AND('Launch plan'!$B$9&gt;0,ISNUMBER('Launch plan'!$B$8),COUNT($G$7:G17)=11),'Launch plan'!$B$8+7*INT(SUM($G$7:G16)/'Launch plan'!$B$9),"Inputs needed")</x:f>
        <x:v>46384</x:v>
      </x:c>
      <x:c r="N17" s="13" t="n">
        <x:f>IF(AND('Launch plan'!$B$9&gt;0,ISNUMBER('Launch plan'!$B$8),COUNT($G$7:G17)=11),MAX(M17,'Launch plan'!$B$8+7*(CEILING(SUM($G$7:G17)/'Launch plan'!$B$9,1)-1)),"Inputs needed")</x:f>
        <x:v>46391</x:v>
      </x:c>
      <x:c r="O17" s="8" t="str">
        <x:v>An invited business can set up and complete all pilot workflows on desktop/mobile with company-safe Ask, clear errors, loading/empty states and no misleading placeholders.</x:v>
      </x:c>
      <x:c r="P17" s="2"/>
      <x:c r="Q17" s="2"/>
      <x:c r="R17" s="2" t="str">
        <x:f>IF(AND(J17="Complete",K17="Approved",L17="Accepted"),"Accepted",IF(K17&lt;&gt;"Approved","Awaiting approval",IF(J17="Complete","Awaiting acceptance","Planned")))</x:f>
        <x:v>Awaiting approval</x:v>
      </x:c>
    </x:row>
    <x:row r="18" ht="72" customHeight="1">
      <x:c r="A18" s="8" t="str">
        <x:v>W12</x:v>
      </x:c>
      <x:c r="B18" s="8" t="str">
        <x:v>Pilot cohort, opening balances and data boundary</x:v>
      </x:c>
      <x:c r="C18" s="8" t="str">
        <x:v>Pilot</x:v>
      </x:c>
      <x:c r="D18" s="14" t="str">
        <x:v>Replit + Codex</x:v>
      </x:c>
      <x:c r="E18" s="14" t="str">
        <x:v>Lee + accounting reviewer TBD</x:v>
      </x:c>
      <x:c r="F18" s="15" t="n">
        <x:v>2</x:v>
      </x:c>
      <x:c r="G18" s="15" t="n">
        <x:v>3</x:v>
      </x:c>
      <x:c r="H18" s="15" t="n">
        <x:v>6</x:v>
      </x:c>
      <x:c r="I18" s="8" t="str">
        <x:v>W11</x:v>
      </x:c>
      <x:c r="J18" s="14" t="str">
        <x:v>Not started</x:v>
      </x:c>
      <x:c r="K18" s="14" t="str">
        <x:v>Pending</x:v>
      </x:c>
      <x:c r="L18" s="14" t="str">
        <x:v>Not verified</x:v>
      </x:c>
      <x:c r="M18" s="13" t="n">
        <x:f>IF(AND('Launch plan'!$B$9&gt;0,ISNUMBER('Launch plan'!$B$8),COUNT($G$7:G18)=12),'Launch plan'!$B$8+7*INT(SUM($G$7:G17)/'Launch plan'!$B$9),"Inputs needed")</x:f>
        <x:v>46391</x:v>
      </x:c>
      <x:c r="N18" s="13" t="n">
        <x:f>IF(AND('Launch plan'!$B$9&gt;0,ISNUMBER('Launch plan'!$B$8),COUNT($G$7:G18)=12),MAX(M18,'Launch plan'!$B$8+7*(CEILING(SUM($G$7:G18)/'Launch plan'!$B$9,1)-1)),"Inputs needed")</x:f>
        <x:v>46398</x:v>
      </x:c>
      <x:c r="O18" s="8" t="str">
        <x:v>New-company or reviewed opening-balance cohort chosen, reconciled and recoverable. Any historical migration requires its own evidence, plan and approval.</x:v>
      </x:c>
      <x:c r="P18" s="2"/>
      <x:c r="Q18" s="2"/>
      <x:c r="R18" s="2" t="str">
        <x:f>IF(AND(J18="Complete",K18="Approved",L18="Accepted"),"Accepted",IF(K18&lt;&gt;"Approved","Awaiting approval",IF(J18="Complete","Awaiting acceptance","Planned")))</x:f>
        <x:v>Awaiting approval</x:v>
      </x:c>
    </x:row>
    <x:row r="19" ht="72" customHeight="1">
      <x:c r="A19" s="8" t="str">
        <x:v>W13</x:v>
      </x:c>
      <x:c r="B19" s="8" t="str">
        <x:v>Full journeys, financial regressions and release security</x:v>
      </x:c>
      <x:c r="C19" s="8" t="str">
        <x:v>Pilot</x:v>
      </x:c>
      <x:c r="D19" s="14" t="str">
        <x:v>Replit + Codex</x:v>
      </x:c>
      <x:c r="E19" s="14" t="str">
        <x:v>Lee + reviewers TBD</x:v>
      </x:c>
      <x:c r="F19" s="15" t="n">
        <x:v>5</x:v>
      </x:c>
      <x:c r="G19" s="15" t="n">
        <x:v>8</x:v>
      </x:c>
      <x:c r="H19" s="15" t="n">
        <x:v>13</x:v>
      </x:c>
      <x:c r="I19" s="8" t="str">
        <x:v>W12</x:v>
      </x:c>
      <x:c r="J19" s="14" t="str">
        <x:v>Not started</x:v>
      </x:c>
      <x:c r="K19" s="14" t="str">
        <x:v>Pending</x:v>
      </x:c>
      <x:c r="L19" s="14" t="str">
        <x:v>Not verified</x:v>
      </x:c>
      <x:c r="M19" s="13" t="n">
        <x:f>IF(AND('Launch plan'!$B$9&gt;0,ISNUMBER('Launch plan'!$B$8),COUNT($G$7:G19)=13),'Launch plan'!$B$8+7*INT(SUM($G$7:G18)/'Launch plan'!$B$9),"Inputs needed")</x:f>
        <x:v>46398</x:v>
      </x:c>
      <x:c r="N19" s="13" t="n">
        <x:f>IF(AND('Launch plan'!$B$9&gt;0,ISNUMBER('Launch plan'!$B$8),COUNT($G$7:G19)=13),MAX(M19,'Launch plan'!$B$8+7*(CEILING(SUM($G$7:G19)/'Launch plan'!$B$9,1)-1)),"Inputs needed")</x:f>
        <x:v>46405</x:v>
      </x:c>
      <x:c r="O19" s="8" t="str">
        <x:v>Synthetic end-to-end invoice/bill/payment/ledger/VAT/report journeys, concurrency, role/isolation, export, accessibility and error recovery pass; blocking findings resolved.</x:v>
      </x:c>
      <x:c r="P19" s="2"/>
      <x:c r="Q19" s="2"/>
      <x:c r="R19" s="2" t="str">
        <x:f>IF(AND(J19="Complete",K19="Approved",L19="Accepted"),"Accepted",IF(K19&lt;&gt;"Approved","Awaiting approval",IF(J19="Complete","Awaiting acceptance","Planned")))</x:f>
        <x:v>Awaiting approval</x:v>
      </x:c>
    </x:row>
    <x:row r="20" ht="72" customHeight="1">
      <x:c r="A20" s="8" t="str">
        <x:v>W14</x:v>
      </x:c>
      <x:c r="B20" s="8" t="str">
        <x:v>Production configuration, recovery and monitoring</x:v>
      </x:c>
      <x:c r="C20" s="8" t="str">
        <x:v>Pilot</x:v>
      </x:c>
      <x:c r="D20" s="14" t="str">
        <x:v>Replit + Codex</x:v>
      </x:c>
      <x:c r="E20" s="14" t="str">
        <x:v>Lee + operations/security reviewer TBD</x:v>
      </x:c>
      <x:c r="F20" s="15" t="n">
        <x:v>4</x:v>
      </x:c>
      <x:c r="G20" s="15" t="n">
        <x:v>6</x:v>
      </x:c>
      <x:c r="H20" s="15" t="n">
        <x:v>10</x:v>
      </x:c>
      <x:c r="I20" s="8" t="str">
        <x:v>W13</x:v>
      </x:c>
      <x:c r="J20" s="14" t="str">
        <x:v>Not started</x:v>
      </x:c>
      <x:c r="K20" s="14" t="str">
        <x:v>Pending</x:v>
      </x:c>
      <x:c r="L20" s="14" t="str">
        <x:v>Not verified</x:v>
      </x:c>
      <x:c r="M20" s="13" t="n">
        <x:f>IF(AND('Launch plan'!$B$9&gt;0,ISNUMBER('Launch plan'!$B$8),COUNT($G$7:G20)=14),'Launch plan'!$B$8+7*INT(SUM($G$7:G19)/'Launch plan'!$B$9),"Inputs needed")</x:f>
        <x:v>46405</x:v>
      </x:c>
      <x:c r="N20" s="13" t="n">
        <x:f>IF(AND('Launch plan'!$B$9&gt;0,ISNUMBER('Launch plan'!$B$8),COUNT($G$7:G20)=14),MAX(M20,'Launch plan'!$B$8+7*(CEILING(SUM($G$7:G20)/'Launch plan'!$B$9,1)-1)),"Inputs needed")</x:f>
        <x:v>46412</x:v>
      </x:c>
      <x:c r="O20" s="8" t="str">
        <x:v>Reviewed schema/config promotion, secrets/origin/rate limits, scheduler topology, logs/alerts, isolated restore and rollback verified; production authorization remains separate.</x:v>
      </x:c>
      <x:c r="P20" s="2"/>
      <x:c r="Q20" s="2"/>
      <x:c r="R20" s="2" t="str">
        <x:f>IF(AND(J20="Complete",K20="Approved",L20="Accepted"),"Accepted",IF(K20&lt;&gt;"Approved","Awaiting approval",IF(J20="Complete","Awaiting acceptance","Planned")))</x:f>
        <x:v>Awaiting approval</x:v>
      </x:c>
    </x:row>
    <x:row r="21" ht="72" customHeight="1">
      <x:c r="A21" s="8" t="str">
        <x:v>W15</x:v>
      </x:c>
      <x:c r="B21" s="8" t="str">
        <x:v>Pilot acceptance and controlled onboarding</x:v>
      </x:c>
      <x:c r="C21" s="8" t="str">
        <x:v>Pilot</x:v>
      </x:c>
      <x:c r="D21" s="14" t="str">
        <x:v>Lee + invited pilot businesses</x:v>
      </x:c>
      <x:c r="E21" s="14" t="str">
        <x:v>Lee</x:v>
      </x:c>
      <x:c r="F21" s="15" t="n">
        <x:v>1</x:v>
      </x:c>
      <x:c r="G21" s="15" t="n">
        <x:v>2</x:v>
      </x:c>
      <x:c r="H21" s="15" t="n">
        <x:v>4</x:v>
      </x:c>
      <x:c r="I21" s="8" t="str">
        <x:v>W14</x:v>
      </x:c>
      <x:c r="J21" s="14" t="str">
        <x:v>Not started</x:v>
      </x:c>
      <x:c r="K21" s="14" t="str">
        <x:v>Pending</x:v>
      </x:c>
      <x:c r="L21" s="14" t="str">
        <x:v>Not verified</x:v>
      </x:c>
      <x:c r="M21" s="13" t="n">
        <x:f>IF(AND('Launch plan'!$B$9&gt;0,ISNUMBER('Launch plan'!$B$8),COUNT($G$7:G21)=15),'Launch plan'!$B$8+7*INT(SUM($G$7:G20)/'Launch plan'!$B$9),"Inputs needed")</x:f>
        <x:v>46419</x:v>
      </x:c>
      <x:c r="N21" s="13" t="n">
        <x:f>IF(AND('Launch plan'!$B$9&gt;0,ISNUMBER('Launch plan'!$B$8),COUNT($G$7:G21)=15),MAX(M21,'Launch plan'!$B$8+7*(CEILING(SUM($G$7:G21)/'Launch plan'!$B$9,1)-1)),"Inputs needed")</x:f>
        <x:v>46419</x:v>
      </x:c>
      <x:c r="O21" s="8" t="str">
        <x:v>Launch scope and evidence accepted; operational support and stop/recovery rules established before admitting the approved pilot cohort.</x:v>
      </x:c>
      <x:c r="P21" s="2"/>
      <x:c r="Q21" s="2"/>
      <x:c r="R21" s="2" t="str">
        <x:f>IF(AND(J21="Complete",K21="Approved",L21="Accepted"),"Accepted",IF(K21&lt;&gt;"Approved","Awaiting approval",IF(J21="Complete","Awaiting acceptance","Planned")))</x:f>
        <x:v>Awaiting approval</x:v>
      </x:c>
    </x:row>
    <x:row r="22" ht="72" customHeight="1">
      <x:c r="A22" s="8" t="str">
        <x:v>W16</x:v>
      </x:c>
      <x:c r="B22" s="8" t="str">
        <x:v>Pilot feedback fixes and operating hardening</x:v>
      </x:c>
      <x:c r="C22" s="8" t="str">
        <x:v>Public</x:v>
      </x:c>
      <x:c r="D22" s="14" t="str">
        <x:v>Replit + Codex</x:v>
      </x:c>
      <x:c r="E22" s="14" t="str">
        <x:v>Lee + pilot reviewers</x:v>
      </x:c>
      <x:c r="F22" s="15" t="n">
        <x:v>4</x:v>
      </x:c>
      <x:c r="G22" s="15" t="n">
        <x:v>8</x:v>
      </x:c>
      <x:c r="H22" s="15" t="n">
        <x:v>15</x:v>
      </x:c>
      <x:c r="I22" s="8" t="str">
        <x:v>W15</x:v>
      </x:c>
      <x:c r="J22" s="14" t="str">
        <x:v>Not started</x:v>
      </x:c>
      <x:c r="K22" s="14" t="str">
        <x:v>Pending</x:v>
      </x:c>
      <x:c r="L22" s="14" t="str">
        <x:v>Not verified</x:v>
      </x:c>
      <x:c r="M22" s="13" t="n">
        <x:f>IF(AND('Launch plan'!$B$9&gt;0,ISNUMBER(('Launch plan'!$C$20+7*'Launch plan'!$B$11)),COUNT($G$22:G22)=1),('Launch plan'!$C$20+7*'Launch plan'!$B$11)+7*INT(0/'Launch plan'!$B$9),"Inputs needed")</x:f>
        <x:v>46468</x:v>
      </x:c>
      <x:c r="N22" s="13" t="n">
        <x:f>IF(AND('Launch plan'!$B$9&gt;0,ISNUMBER(('Launch plan'!$C$20+7*'Launch plan'!$B$11)),COUNT($G$22:G22)=1),MAX(M22,('Launch plan'!$C$20+7*'Launch plan'!$B$11)+7*(CEILING(SUM($G$22:G22)/'Launch plan'!$B$9,1)-1)),"Inputs needed")</x:f>
        <x:v>46475</x:v>
      </x:c>
      <x:c r="O22" s="8" t="str">
        <x:v>Resolve pilot issues and demonstrate reliable posting, onboarding, backups, alerting and support through the observation window.</x:v>
      </x:c>
      <x:c r="P22" s="2"/>
      <x:c r="Q22" s="2"/>
      <x:c r="R22" s="2" t="str">
        <x:f>IF(AND(J22="Complete",K22="Approved",L22="Accepted"),"Accepted",IF(K22&lt;&gt;"Approved","Awaiting approval",IF(J22="Complete","Awaiting acceptance","Planned")))</x:f>
        <x:v>Awaiting approval</x:v>
      </x:c>
    </x:row>
    <x:row r="23" ht="72" customHeight="1">
      <x:c r="A23" s="8" t="str">
        <x:v>W17</x:v>
      </x:c>
      <x:c r="B23" s="8" t="str">
        <x:v>Public onboarding, support and commercial launch checks</x:v>
      </x:c>
      <x:c r="C23" s="8" t="str">
        <x:v>Public</x:v>
      </x:c>
      <x:c r="D23" s="14" t="str">
        <x:v>Lee + Replit/Codex</x:v>
      </x:c>
      <x:c r="E23" s="14" t="str">
        <x:v>Lee</x:v>
      </x:c>
      <x:c r="F23" s="15" t="n">
        <x:v>2</x:v>
      </x:c>
      <x:c r="G23" s="15" t="n">
        <x:v>4</x:v>
      </x:c>
      <x:c r="H23" s="15" t="n">
        <x:v>7</x:v>
      </x:c>
      <x:c r="I23" s="8" t="str">
        <x:v>W16</x:v>
      </x:c>
      <x:c r="J23" s="14" t="str">
        <x:v>Not started</x:v>
      </x:c>
      <x:c r="K23" s="14" t="str">
        <x:v>Pending</x:v>
      </x:c>
      <x:c r="L23" s="14" t="str">
        <x:v>Not verified</x:v>
      </x:c>
      <x:c r="M23" s="13" t="n">
        <x:f>IF(AND('Launch plan'!$B$9&gt;0,ISNUMBER(('Launch plan'!$C$20+7*'Launch plan'!$B$11)),COUNT($G$22:G23)=2),('Launch plan'!$C$20+7*'Launch plan'!$B$11)+7*INT(SUM($G$22:G22)/'Launch plan'!$B$9),"Inputs needed")</x:f>
        <x:v>46475</x:v>
      </x:c>
      <x:c r="N23" s="13" t="n">
        <x:f>IF(AND('Launch plan'!$B$9&gt;0,ISNUMBER(('Launch plan'!$C$20+7*'Launch plan'!$B$11)),COUNT($G$22:G23)=2),MAX(M23,('Launch plan'!$C$20+7*'Launch plan'!$B$11)+7*(CEILING(SUM($G$22:G23)/'Launch plan'!$B$9,1)-1)),"Inputs needed")</x:f>
        <x:v>46482</x:v>
      </x:c>
      <x:c r="O23" s="8" t="str">
        <x:v>Agree pricing/access/support and applicable terms/privacy review; capacity and public onboarding are tested. Automated billing/provider additions need separate scope estimates.</x:v>
      </x:c>
      <x:c r="P23" s="2"/>
      <x:c r="Q23" s="2"/>
      <x:c r="R23" s="2" t="str">
        <x:f>IF(AND(J23="Complete",K23="Approved",L23="Accepted"),"Accepted",IF(K23&lt;&gt;"Approved","Awaiting approval",IF(J23="Complete","Awaiting acceptance","Planned")))</x:f>
        <x:v>Awaiting approval</x:v>
      </x:c>
    </x:row>
    <x:row r="24" ht="72" customHeight="1">
      <x:c r="A24" s="8" t="str">
        <x:v>W18</x:v>
      </x:c>
      <x:c r="B24" s="8" t="str">
        <x:v>Public release acceptance</x:v>
      </x:c>
      <x:c r="C24" s="8" t="str">
        <x:v>Public</x:v>
      </x:c>
      <x:c r="D24" s="14" t="str">
        <x:v>Lee + release reviewers TBD</x:v>
      </x:c>
      <x:c r="E24" s="14" t="str">
        <x:v>Lee</x:v>
      </x:c>
      <x:c r="F24" s="15" t="n">
        <x:v>1</x:v>
      </x:c>
      <x:c r="G24" s="15" t="n">
        <x:v>3</x:v>
      </x:c>
      <x:c r="H24" s="15" t="n">
        <x:v>5</x:v>
      </x:c>
      <x:c r="I24" s="8" t="str">
        <x:v>W17</x:v>
      </x:c>
      <x:c r="J24" s="14" t="str">
        <x:v>Not started</x:v>
      </x:c>
      <x:c r="K24" s="14" t="str">
        <x:v>Pending</x:v>
      </x:c>
      <x:c r="L24" s="14" t="str">
        <x:v>Not verified</x:v>
      </x:c>
      <x:c r="M24" s="13" t="n">
        <x:f>IF(AND('Launch plan'!$B$9&gt;0,ISNUMBER(('Launch plan'!$C$20+7*'Launch plan'!$B$11)),COUNT($G$22:G24)=3),('Launch plan'!$C$20+7*'Launch plan'!$B$11)+7*INT(SUM($G$22:G23)/'Launch plan'!$B$9),"Inputs needed")</x:f>
        <x:v>46482</x:v>
      </x:c>
      <x:c r="N24" s="13" t="n">
        <x:f>IF(AND('Launch plan'!$B$9&gt;0,ISNUMBER(('Launch plan'!$C$20+7*'Launch plan'!$B$11)),COUNT($G$22:G24)=3),MAX(M24,('Launch plan'!$C$20+7*'Launch plan'!$B$11)+7*(CEILING(SUM($G$22:G24)/'Launch plan'!$B$9,1)-1)),"Inputs needed")</x:f>
        <x:v>46482</x:v>
      </x:c>
      <x:c r="O24" s="8" t="str">
        <x:v>Final customer journeys and operational checks accepted, remaining launch blockers closed and a separately authorized release decision recorded.</x:v>
      </x:c>
      <x:c r="P24" s="2"/>
      <x:c r="Q24" s="2"/>
      <x:c r="R24" s="2" t="str">
        <x:f>IF(AND(J24="Complete",K24="Approved",L24="Accepted"),"Accepted",IF(K24&lt;&gt;"Approved","Awaiting approval",IF(J24="Complete","Awaiting acceptance","Planned")))</x:f>
        <x:v>Awaiting approval</x:v>
      </x:c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</x:sheetData>
  <x:conditionalFormatting sqref="K7:K24">
    <x:cfRule type="containsText" dxfId="8" priority="1" operator="containsText" text="Release blocker"/>
    <x:cfRule type="containsText" dxfId="9" priority="2" operator="containsText" text="Blocked integration"/>
    <x:cfRule type="containsText" dxfId="10" priority="3" operator="containsText" text="Pending"/>
    <x:cfRule type="containsText" dxfId="11" priority="4" operator="containsText" text="Awaiting"/>
  </x:conditionalFormatting>
  <x:conditionalFormatting sqref="R7:R24">
    <x:cfRule type="containsText" dxfId="12" priority="5" operator="containsText" text="Release blocker"/>
    <x:cfRule type="containsText" dxfId="13" priority="6" operator="containsText" text="Blocked integration"/>
    <x:cfRule type="containsText" dxfId="14" priority="7" operator="containsText" text="Pending"/>
    <x:cfRule type="containsText" dxfId="15" priority="8" operator="containsText" text="Awaiting"/>
  </x:conditionalFormatting>
  <x:dataValidations count="4">
    <x:dataValidation type="whole" operator="between" sqref="F7:H24">
      <x:formula1>0</x:formula1>
      <x:formula2>200</x:formula2>
    </x:dataValidation>
    <x:dataValidation type="list" sqref="J7:J24">
      <x:formula1>"Not started,In progress,Complete"</x:formula1>
    </x:dataValidation>
    <x:dataValidation type="list" sqref="K7:K24">
      <x:formula1>"Pending,Approved"</x:formula1>
    </x:dataValidation>
    <x:dataValidation type="list" sqref="L7:L24">
      <x:formula1>"Not verified,Accepted"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9f1b9f851e4ef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" hidden="0" customWidth="1"/>
    <x:col min="2" max="2" width="40" hidden="0" customWidth="1"/>
    <x:col min="3" max="3" width="25" hidden="0" customWidth="1"/>
    <x:col min="4" max="4" width="19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</x:row>
    <x:row r="2" ht="26" customHeight="1">
      <x:c r="A2" s="3" t="str">
        <x:v>Base weekly schedule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</x:row>
    <x:row r="4">
      <x:c r="A4" s="2" t="str">
        <x:v>Forecast work only. Pending approvals and acceptance remain visible in Workstreams. Read each task’s completion evidence there.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</x:row>
    <x:row r="6" ht="34" customHeight="1">
      <x:c r="A6" s="12" t="str">
        <x:v>ID</x:v>
      </x:c>
      <x:c r="B6" s="12" t="str">
        <x:v>Workstream</x:v>
      </x:c>
      <x:c r="C6" s="12" t="str">
        <x:v>Proposed owner</x:v>
      </x:c>
      <x:c r="D6" s="12" t="str">
        <x:v>Review state</x:v>
      </x:c>
      <x:c r="E6" s="16" t="n">
        <x:f>'Launch plan'!$B$8+0</x:f>
        <x:v>46314</x:v>
      </x:c>
      <x:c r="F6" s="16" t="n">
        <x:f>'Launch plan'!$B$8+7</x:f>
        <x:v>46321</x:v>
      </x:c>
      <x:c r="G6" s="16" t="n">
        <x:f>'Launch plan'!$B$8+14</x:f>
        <x:v>46328</x:v>
      </x:c>
      <x:c r="H6" s="16" t="n">
        <x:f>'Launch plan'!$B$8+21</x:f>
        <x:v>46335</x:v>
      </x:c>
      <x:c r="I6" s="16" t="n">
        <x:f>'Launch plan'!$B$8+28</x:f>
        <x:v>46342</x:v>
      </x:c>
      <x:c r="J6" s="16" t="n">
        <x:f>'Launch plan'!$B$8+35</x:f>
        <x:v>46349</x:v>
      </x:c>
      <x:c r="K6" s="16" t="n">
        <x:f>'Launch plan'!$B$8+42</x:f>
        <x:v>46356</x:v>
      </x:c>
      <x:c r="L6" s="16" t="n">
        <x:f>'Launch plan'!$B$8+49</x:f>
        <x:v>46363</x:v>
      </x:c>
      <x:c r="M6" s="16" t="n">
        <x:f>'Launch plan'!$B$8+56</x:f>
        <x:v>46370</x:v>
      </x:c>
      <x:c r="N6" s="16" t="n">
        <x:f>'Launch plan'!$B$8+63</x:f>
        <x:v>46377</x:v>
      </x:c>
      <x:c r="O6" s="16" t="n">
        <x:f>'Launch plan'!$B$8+70</x:f>
        <x:v>46384</x:v>
      </x:c>
      <x:c r="P6" s="16" t="n">
        <x:f>'Launch plan'!$B$8+77</x:f>
        <x:v>46391</x:v>
      </x:c>
      <x:c r="Q6" s="16" t="n">
        <x:f>'Launch plan'!$B$8+84</x:f>
        <x:v>46398</x:v>
      </x:c>
      <x:c r="R6" s="16" t="n">
        <x:f>'Launch plan'!$B$8+91</x:f>
        <x:v>46405</x:v>
      </x:c>
      <x:c r="S6" s="16" t="n">
        <x:f>'Launch plan'!$B$8+98</x:f>
        <x:v>46412</x:v>
      </x:c>
      <x:c r="T6" s="16" t="n">
        <x:f>'Launch plan'!$B$8+105</x:f>
        <x:v>46419</x:v>
      </x:c>
      <x:c r="U6" s="16" t="n">
        <x:f>'Launch plan'!$B$8+112</x:f>
        <x:v>46426</x:v>
      </x:c>
      <x:c r="V6" s="16" t="n">
        <x:f>'Launch plan'!$B$8+119</x:f>
        <x:v>46433</x:v>
      </x:c>
      <x:c r="W6" s="16" t="n">
        <x:f>'Launch plan'!$B$8+126</x:f>
        <x:v>46440</x:v>
      </x:c>
      <x:c r="X6" s="16" t="n">
        <x:f>'Launch plan'!$B$8+133</x:f>
        <x:v>46447</x:v>
      </x:c>
      <x:c r="Y6" s="16" t="n">
        <x:f>'Launch plan'!$B$8+140</x:f>
        <x:v>46454</x:v>
      </x:c>
      <x:c r="Z6" s="16" t="n">
        <x:f>'Launch plan'!$B$8+147</x:f>
        <x:v>46461</x:v>
      </x:c>
      <x:c r="AA6" s="16" t="n">
        <x:f>'Launch plan'!$B$8+154</x:f>
        <x:v>46468</x:v>
      </x:c>
      <x:c r="AB6" s="16" t="n">
        <x:f>'Launch plan'!$B$8+161</x:f>
        <x:v>46475</x:v>
      </x:c>
      <x:c r="AC6" s="16" t="n">
        <x:f>'Launch plan'!$B$8+168</x:f>
        <x:v>46482</x:v>
      </x:c>
      <x:c r="AD6" s="16" t="n">
        <x:f>'Launch plan'!$B$8+175</x:f>
        <x:v>46489</x:v>
      </x:c>
      <x:c r="AE6" s="16" t="n">
        <x:f>'Launch plan'!$B$8+182</x:f>
        <x:v>46496</x:v>
      </x:c>
      <x:c r="AF6" s="16" t="n">
        <x:f>'Launch plan'!$B$8+189</x:f>
        <x:v>46503</x:v>
      </x:c>
      <x:c r="AG6" s="16" t="n">
        <x:f>'Launch plan'!$B$8+196</x:f>
        <x:v>46510</x:v>
      </x:c>
      <x:c r="AH6" s="16" t="n">
        <x:f>'Launch plan'!$B$8+203</x:f>
        <x:v>46517</x:v>
      </x:c>
      <x:c r="AI6" s="16" t="n">
        <x:f>'Launch plan'!$B$8+210</x:f>
        <x:v>46524</x:v>
      </x:c>
      <x:c r="AJ6" s="16" t="n">
        <x:f>'Launch plan'!$B$8+217</x:f>
        <x:v>46531</x:v>
      </x:c>
      <x:c r="AK6" s="16" t="n">
        <x:f>'Launch plan'!$B$8+224</x:f>
        <x:v>46538</x:v>
      </x:c>
      <x:c r="AL6" s="16" t="n">
        <x:f>'Launch plan'!$B$8+231</x:f>
        <x:v>46545</x:v>
      </x:c>
      <x:c r="AM6" s="16" t="n">
        <x:f>'Launch plan'!$B$8+238</x:f>
        <x:v>46552</x:v>
      </x:c>
      <x:c r="AN6" s="16" t="n">
        <x:f>'Launch plan'!$B$8+245</x:f>
        <x:v>46559</x:v>
      </x:c>
      <x:c r="AO6" s="16" t="n">
        <x:f>'Launch plan'!$B$8+252</x:f>
        <x:v>46566</x:v>
      </x:c>
      <x:c r="AP6" s="16" t="n">
        <x:f>'Launch plan'!$B$8+259</x:f>
        <x:v>46573</x:v>
      </x:c>
      <x:c r="AQ6" s="16" t="n">
        <x:f>'Launch plan'!$B$8+266</x:f>
        <x:v>46580</x:v>
      </x:c>
      <x:c r="AR6" s="16" t="n">
        <x:f>'Launch plan'!$B$8+273</x:f>
        <x:v>46587</x:v>
      </x:c>
      <x:c r="AS6" s="16" t="n">
        <x:f>'Launch plan'!$B$8+280</x:f>
        <x:v>46594</x:v>
      </x:c>
      <x:c r="AT6" s="16" t="n">
        <x:f>'Launch plan'!$B$8+287</x:f>
        <x:v>46601</x:v>
      </x:c>
      <x:c r="AU6" s="16" t="n">
        <x:f>'Launch plan'!$B$8+294</x:f>
        <x:v>46608</x:v>
      </x:c>
      <x:c r="AV6" s="16" t="n">
        <x:f>'Launch plan'!$B$8+301</x:f>
        <x:v>46615</x:v>
      </x:c>
      <x:c r="AW6" s="16" t="n">
        <x:f>'Launch plan'!$B$8+308</x:f>
        <x:v>46622</x:v>
      </x:c>
      <x:c r="AX6" s="16" t="n">
        <x:f>'Launch plan'!$B$8+315</x:f>
        <x:v>46629</x:v>
      </x:c>
      <x:c r="AY6" s="16" t="n">
        <x:f>'Launch plan'!$B$8+322</x:f>
        <x:v>46636</x:v>
      </x:c>
      <x:c r="AZ6" s="16" t="n">
        <x:f>'Launch plan'!$B$8+329</x:f>
        <x:v>46643</x:v>
      </x:c>
      <x:c r="BA6" s="16" t="n">
        <x:f>'Launch plan'!$B$8+336</x:f>
        <x:v>46650</x:v>
      </x:c>
      <x:c r="BB6" s="16" t="n">
        <x:f>'Launch plan'!$B$8+343</x:f>
        <x:v>46657</x:v>
      </x:c>
      <x:c r="BC6" s="16" t="n">
        <x:f>'Launch plan'!$B$8+350</x:f>
        <x:v>46664</x:v>
      </x:c>
      <x:c r="BD6" s="16" t="n">
        <x:f>'Launch plan'!$B$8+357</x:f>
        <x:v>46671</x:v>
      </x:c>
    </x:row>
    <x:row r="7" ht="48" customHeight="1">
      <x:c r="A7" s="8" t="str">
        <x:f>'Workstreams'!A7</x:f>
        <x:v>W01</x:v>
      </x:c>
      <x:c r="B7" s="8" t="str">
        <x:f>'Workstreams'!B7</x:f>
        <x:v>Confirm pilot scope, capacity and release reviews</x:v>
      </x:c>
      <x:c r="C7" s="8" t="str">
        <x:f>'Workstreams'!D7</x:f>
        <x:v>Lee</x:v>
      </x:c>
      <x:c r="D7" s="8" t="str">
        <x:f>'Workstreams'!R7</x:f>
        <x:v>Awaiting approval</x:v>
      </x:c>
      <x:c r="E7" s="17" t="str">
        <x:f>IF(AND(ISNUMBER('Workstreams'!$M7),ISNUMBER('Workstreams'!$N7)),IF(AND(E$6&gt;='Workstreams'!$M7,E$6&lt;='Workstreams'!$N7),IF('Workstreams'!$R7="Accepted","Done","Plan"),""),"Inputs needed")</x:f>
        <x:v>Plan</x:v>
      </x:c>
      <x:c r="F7" s="17" t="str">
        <x:f>IF(AND(ISNUMBER('Workstreams'!$M7),ISNUMBER('Workstreams'!$N7)),IF(AND(F$6&gt;='Workstreams'!$M7,F$6&lt;='Workstreams'!$N7),IF('Workstreams'!$R7="Accepted","Done","Plan"),""),"Inputs needed")</x:f>
      </x:c>
      <x:c r="G7" s="17" t="str">
        <x:f>IF(AND(ISNUMBER('Workstreams'!$M7),ISNUMBER('Workstreams'!$N7)),IF(AND(G$6&gt;='Workstreams'!$M7,G$6&lt;='Workstreams'!$N7),IF('Workstreams'!$R7="Accepted","Done","Plan"),""),"Inputs needed")</x:f>
      </x:c>
      <x:c r="H7" s="17" t="str">
        <x:f>IF(AND(ISNUMBER('Workstreams'!$M7),ISNUMBER('Workstreams'!$N7)),IF(AND(H$6&gt;='Workstreams'!$M7,H$6&lt;='Workstreams'!$N7),IF('Workstreams'!$R7="Accepted","Done","Plan"),""),"Inputs needed")</x:f>
      </x:c>
      <x:c r="I7" s="17" t="str">
        <x:f>IF(AND(ISNUMBER('Workstreams'!$M7),ISNUMBER('Workstreams'!$N7)),IF(AND(I$6&gt;='Workstreams'!$M7,I$6&lt;='Workstreams'!$N7),IF('Workstreams'!$R7="Accepted","Done","Plan"),""),"Inputs needed")</x:f>
      </x:c>
      <x:c r="J7" s="17" t="str">
        <x:f>IF(AND(ISNUMBER('Workstreams'!$M7),ISNUMBER('Workstreams'!$N7)),IF(AND(J$6&gt;='Workstreams'!$M7,J$6&lt;='Workstreams'!$N7),IF('Workstreams'!$R7="Accepted","Done","Plan"),""),"Inputs needed")</x:f>
      </x:c>
      <x:c r="K7" s="17" t="str">
        <x:f>IF(AND(ISNUMBER('Workstreams'!$M7),ISNUMBER('Workstreams'!$N7)),IF(AND(K$6&gt;='Workstreams'!$M7,K$6&lt;='Workstreams'!$N7),IF('Workstreams'!$R7="Accepted","Done","Plan"),""),"Inputs needed")</x:f>
      </x:c>
      <x:c r="L7" s="17" t="str">
        <x:f>IF(AND(ISNUMBER('Workstreams'!$M7),ISNUMBER('Workstreams'!$N7)),IF(AND(L$6&gt;='Workstreams'!$M7,L$6&lt;='Workstreams'!$N7),IF('Workstreams'!$R7="Accepted","Done","Plan"),""),"Inputs needed")</x:f>
      </x:c>
      <x:c r="M7" s="17" t="str">
        <x:f>IF(AND(ISNUMBER('Workstreams'!$M7),ISNUMBER('Workstreams'!$N7)),IF(AND(M$6&gt;='Workstreams'!$M7,M$6&lt;='Workstreams'!$N7),IF('Workstreams'!$R7="Accepted","Done","Plan"),""),"Inputs needed")</x:f>
      </x:c>
      <x:c r="N7" s="17" t="str">
        <x:f>IF(AND(ISNUMBER('Workstreams'!$M7),ISNUMBER('Workstreams'!$N7)),IF(AND(N$6&gt;='Workstreams'!$M7,N$6&lt;='Workstreams'!$N7),IF('Workstreams'!$R7="Accepted","Done","Plan"),""),"Inputs needed")</x:f>
      </x:c>
      <x:c r="O7" s="17" t="str">
        <x:f>IF(AND(ISNUMBER('Workstreams'!$M7),ISNUMBER('Workstreams'!$N7)),IF(AND(O$6&gt;='Workstreams'!$M7,O$6&lt;='Workstreams'!$N7),IF('Workstreams'!$R7="Accepted","Done","Plan"),""),"Inputs needed")</x:f>
      </x:c>
      <x:c r="P7" s="17" t="str">
        <x:f>IF(AND(ISNUMBER('Workstreams'!$M7),ISNUMBER('Workstreams'!$N7)),IF(AND(P$6&gt;='Workstreams'!$M7,P$6&lt;='Workstreams'!$N7),IF('Workstreams'!$R7="Accepted","Done","Plan"),""),"Inputs needed")</x:f>
      </x:c>
      <x:c r="Q7" s="17" t="str">
        <x:f>IF(AND(ISNUMBER('Workstreams'!$M7),ISNUMBER('Workstreams'!$N7)),IF(AND(Q$6&gt;='Workstreams'!$M7,Q$6&lt;='Workstreams'!$N7),IF('Workstreams'!$R7="Accepted","Done","Plan"),""),"Inputs needed")</x:f>
      </x:c>
      <x:c r="R7" s="17" t="str">
        <x:f>IF(AND(ISNUMBER('Workstreams'!$M7),ISNUMBER('Workstreams'!$N7)),IF(AND(R$6&gt;='Workstreams'!$M7,R$6&lt;='Workstreams'!$N7),IF('Workstreams'!$R7="Accepted","Done","Plan"),""),"Inputs needed")</x:f>
      </x:c>
      <x:c r="S7" s="17" t="str">
        <x:f>IF(AND(ISNUMBER('Workstreams'!$M7),ISNUMBER('Workstreams'!$N7)),IF(AND(S$6&gt;='Workstreams'!$M7,S$6&lt;='Workstreams'!$N7),IF('Workstreams'!$R7="Accepted","Done","Plan"),""),"Inputs needed")</x:f>
      </x:c>
      <x:c r="T7" s="17" t="str">
        <x:f>IF(AND(ISNUMBER('Workstreams'!$M7),ISNUMBER('Workstreams'!$N7)),IF(AND(T$6&gt;='Workstreams'!$M7,T$6&lt;='Workstreams'!$N7),IF('Workstreams'!$R7="Accepted","Done","Plan"),""),"Inputs needed")</x:f>
      </x:c>
      <x:c r="U7" s="17" t="str">
        <x:f>IF(AND(ISNUMBER('Workstreams'!$M7),ISNUMBER('Workstreams'!$N7)),IF(AND(U$6&gt;='Workstreams'!$M7,U$6&lt;='Workstreams'!$N7),IF('Workstreams'!$R7="Accepted","Done","Plan"),""),"Inputs needed")</x:f>
      </x:c>
      <x:c r="V7" s="17" t="str">
        <x:f>IF(AND(ISNUMBER('Workstreams'!$M7),ISNUMBER('Workstreams'!$N7)),IF(AND(V$6&gt;='Workstreams'!$M7,V$6&lt;='Workstreams'!$N7),IF('Workstreams'!$R7="Accepted","Done","Plan"),""),"Inputs needed")</x:f>
      </x:c>
      <x:c r="W7" s="17" t="str">
        <x:f>IF(AND(ISNUMBER('Workstreams'!$M7),ISNUMBER('Workstreams'!$N7)),IF(AND(W$6&gt;='Workstreams'!$M7,W$6&lt;='Workstreams'!$N7),IF('Workstreams'!$R7="Accepted","Done","Plan"),""),"Inputs needed")</x:f>
      </x:c>
      <x:c r="X7" s="17" t="str">
        <x:f>IF(AND(ISNUMBER('Workstreams'!$M7),ISNUMBER('Workstreams'!$N7)),IF(AND(X$6&gt;='Workstreams'!$M7,X$6&lt;='Workstreams'!$N7),IF('Workstreams'!$R7="Accepted","Done","Plan"),""),"Inputs needed")</x:f>
      </x:c>
      <x:c r="Y7" s="17" t="str">
        <x:f>IF(AND(ISNUMBER('Workstreams'!$M7),ISNUMBER('Workstreams'!$N7)),IF(AND(Y$6&gt;='Workstreams'!$M7,Y$6&lt;='Workstreams'!$N7),IF('Workstreams'!$R7="Accepted","Done","Plan"),""),"Inputs needed")</x:f>
      </x:c>
      <x:c r="Z7" s="17" t="str">
        <x:f>IF(AND(ISNUMBER('Workstreams'!$M7),ISNUMBER('Workstreams'!$N7)),IF(AND(Z$6&gt;='Workstreams'!$M7,Z$6&lt;='Workstreams'!$N7),IF('Workstreams'!$R7="Accepted","Done","Plan"),""),"Inputs needed")</x:f>
      </x:c>
      <x:c r="AA7" s="17" t="str">
        <x:f>IF(AND(ISNUMBER('Workstreams'!$M7),ISNUMBER('Workstreams'!$N7)),IF(AND(AA$6&gt;='Workstreams'!$M7,AA$6&lt;='Workstreams'!$N7),IF('Workstreams'!$R7="Accepted","Done","Plan"),""),"Inputs needed")</x:f>
      </x:c>
      <x:c r="AB7" s="17" t="str">
        <x:f>IF(AND(ISNUMBER('Workstreams'!$M7),ISNUMBER('Workstreams'!$N7)),IF(AND(AB$6&gt;='Workstreams'!$M7,AB$6&lt;='Workstreams'!$N7),IF('Workstreams'!$R7="Accepted","Done","Plan"),""),"Inputs needed")</x:f>
      </x:c>
      <x:c r="AC7" s="17" t="str">
        <x:f>IF(AND(ISNUMBER('Workstreams'!$M7),ISNUMBER('Workstreams'!$N7)),IF(AND(AC$6&gt;='Workstreams'!$M7,AC$6&lt;='Workstreams'!$N7),IF('Workstreams'!$R7="Accepted","Done","Plan"),""),"Inputs needed")</x:f>
      </x:c>
      <x:c r="AD7" s="17" t="str">
        <x:f>IF(AND(ISNUMBER('Workstreams'!$M7),ISNUMBER('Workstreams'!$N7)),IF(AND(AD$6&gt;='Workstreams'!$M7,AD$6&lt;='Workstreams'!$N7),IF('Workstreams'!$R7="Accepted","Done","Plan"),""),"Inputs needed")</x:f>
      </x:c>
      <x:c r="AE7" s="17" t="str">
        <x:f>IF(AND(ISNUMBER('Workstreams'!$M7),ISNUMBER('Workstreams'!$N7)),IF(AND(AE$6&gt;='Workstreams'!$M7,AE$6&lt;='Workstreams'!$N7),IF('Workstreams'!$R7="Accepted","Done","Plan"),""),"Inputs needed")</x:f>
      </x:c>
      <x:c r="AF7" s="17" t="str">
        <x:f>IF(AND(ISNUMBER('Workstreams'!$M7),ISNUMBER('Workstreams'!$N7)),IF(AND(AF$6&gt;='Workstreams'!$M7,AF$6&lt;='Workstreams'!$N7),IF('Workstreams'!$R7="Accepted","Done","Plan"),""),"Inputs needed")</x:f>
      </x:c>
      <x:c r="AG7" s="17" t="str">
        <x:f>IF(AND(ISNUMBER('Workstreams'!$M7),ISNUMBER('Workstreams'!$N7)),IF(AND(AG$6&gt;='Workstreams'!$M7,AG$6&lt;='Workstreams'!$N7),IF('Workstreams'!$R7="Accepted","Done","Plan"),""),"Inputs needed")</x:f>
      </x:c>
      <x:c r="AH7" s="17" t="str">
        <x:f>IF(AND(ISNUMBER('Workstreams'!$M7),ISNUMBER('Workstreams'!$N7)),IF(AND(AH$6&gt;='Workstreams'!$M7,AH$6&lt;='Workstreams'!$N7),IF('Workstreams'!$R7="Accepted","Done","Plan"),""),"Inputs needed")</x:f>
      </x:c>
      <x:c r="AI7" s="17" t="str">
        <x:f>IF(AND(ISNUMBER('Workstreams'!$M7),ISNUMBER('Workstreams'!$N7)),IF(AND(AI$6&gt;='Workstreams'!$M7,AI$6&lt;='Workstreams'!$N7),IF('Workstreams'!$R7="Accepted","Done","Plan"),""),"Inputs needed")</x:f>
      </x:c>
      <x:c r="AJ7" s="17" t="str">
        <x:f>IF(AND(ISNUMBER('Workstreams'!$M7),ISNUMBER('Workstreams'!$N7)),IF(AND(AJ$6&gt;='Workstreams'!$M7,AJ$6&lt;='Workstreams'!$N7),IF('Workstreams'!$R7="Accepted","Done","Plan"),""),"Inputs needed")</x:f>
      </x:c>
      <x:c r="AK7" s="17" t="str">
        <x:f>IF(AND(ISNUMBER('Workstreams'!$M7),ISNUMBER('Workstreams'!$N7)),IF(AND(AK$6&gt;='Workstreams'!$M7,AK$6&lt;='Workstreams'!$N7),IF('Workstreams'!$R7="Accepted","Done","Plan"),""),"Inputs needed")</x:f>
      </x:c>
      <x:c r="AL7" s="17" t="str">
        <x:f>IF(AND(ISNUMBER('Workstreams'!$M7),ISNUMBER('Workstreams'!$N7)),IF(AND(AL$6&gt;='Workstreams'!$M7,AL$6&lt;='Workstreams'!$N7),IF('Workstreams'!$R7="Accepted","Done","Plan"),""),"Inputs needed")</x:f>
      </x:c>
      <x:c r="AM7" s="17" t="str">
        <x:f>IF(AND(ISNUMBER('Workstreams'!$M7),ISNUMBER('Workstreams'!$N7)),IF(AND(AM$6&gt;='Workstreams'!$M7,AM$6&lt;='Workstreams'!$N7),IF('Workstreams'!$R7="Accepted","Done","Plan"),""),"Inputs needed")</x:f>
      </x:c>
      <x:c r="AN7" s="17" t="str">
        <x:f>IF(AND(ISNUMBER('Workstreams'!$M7),ISNUMBER('Workstreams'!$N7)),IF(AND(AN$6&gt;='Workstreams'!$M7,AN$6&lt;='Workstreams'!$N7),IF('Workstreams'!$R7="Accepted","Done","Plan"),""),"Inputs needed")</x:f>
      </x:c>
      <x:c r="AO7" s="17" t="str">
        <x:f>IF(AND(ISNUMBER('Workstreams'!$M7),ISNUMBER('Workstreams'!$N7)),IF(AND(AO$6&gt;='Workstreams'!$M7,AO$6&lt;='Workstreams'!$N7),IF('Workstreams'!$R7="Accepted","Done","Plan"),""),"Inputs needed")</x:f>
      </x:c>
      <x:c r="AP7" s="17" t="str">
        <x:f>IF(AND(ISNUMBER('Workstreams'!$M7),ISNUMBER('Workstreams'!$N7)),IF(AND(AP$6&gt;='Workstreams'!$M7,AP$6&lt;='Workstreams'!$N7),IF('Workstreams'!$R7="Accepted","Done","Plan"),""),"Inputs needed")</x:f>
      </x:c>
      <x:c r="AQ7" s="17" t="str">
        <x:f>IF(AND(ISNUMBER('Workstreams'!$M7),ISNUMBER('Workstreams'!$N7)),IF(AND(AQ$6&gt;='Workstreams'!$M7,AQ$6&lt;='Workstreams'!$N7),IF('Workstreams'!$R7="Accepted","Done","Plan"),""),"Inputs needed")</x:f>
      </x:c>
      <x:c r="AR7" s="17" t="str">
        <x:f>IF(AND(ISNUMBER('Workstreams'!$M7),ISNUMBER('Workstreams'!$N7)),IF(AND(AR$6&gt;='Workstreams'!$M7,AR$6&lt;='Workstreams'!$N7),IF('Workstreams'!$R7="Accepted","Done","Plan"),""),"Inputs needed")</x:f>
      </x:c>
      <x:c r="AS7" s="17" t="str">
        <x:f>IF(AND(ISNUMBER('Workstreams'!$M7),ISNUMBER('Workstreams'!$N7)),IF(AND(AS$6&gt;='Workstreams'!$M7,AS$6&lt;='Workstreams'!$N7),IF('Workstreams'!$R7="Accepted","Done","Plan"),""),"Inputs needed")</x:f>
      </x:c>
      <x:c r="AT7" s="17" t="str">
        <x:f>IF(AND(ISNUMBER('Workstreams'!$M7),ISNUMBER('Workstreams'!$N7)),IF(AND(AT$6&gt;='Workstreams'!$M7,AT$6&lt;='Workstreams'!$N7),IF('Workstreams'!$R7="Accepted","Done","Plan"),""),"Inputs needed")</x:f>
      </x:c>
      <x:c r="AU7" s="17" t="str">
        <x:f>IF(AND(ISNUMBER('Workstreams'!$M7),ISNUMBER('Workstreams'!$N7)),IF(AND(AU$6&gt;='Workstreams'!$M7,AU$6&lt;='Workstreams'!$N7),IF('Workstreams'!$R7="Accepted","Done","Plan"),""),"Inputs needed")</x:f>
      </x:c>
      <x:c r="AV7" s="17" t="str">
        <x:f>IF(AND(ISNUMBER('Workstreams'!$M7),ISNUMBER('Workstreams'!$N7)),IF(AND(AV$6&gt;='Workstreams'!$M7,AV$6&lt;='Workstreams'!$N7),IF('Workstreams'!$R7="Accepted","Done","Plan"),""),"Inputs needed")</x:f>
      </x:c>
      <x:c r="AW7" s="17" t="str">
        <x:f>IF(AND(ISNUMBER('Workstreams'!$M7),ISNUMBER('Workstreams'!$N7)),IF(AND(AW$6&gt;='Workstreams'!$M7,AW$6&lt;='Workstreams'!$N7),IF('Workstreams'!$R7="Accepted","Done","Plan"),""),"Inputs needed")</x:f>
      </x:c>
      <x:c r="AX7" s="17" t="str">
        <x:f>IF(AND(ISNUMBER('Workstreams'!$M7),ISNUMBER('Workstreams'!$N7)),IF(AND(AX$6&gt;='Workstreams'!$M7,AX$6&lt;='Workstreams'!$N7),IF('Workstreams'!$R7="Accepted","Done","Plan"),""),"Inputs needed")</x:f>
      </x:c>
      <x:c r="AY7" s="17" t="str">
        <x:f>IF(AND(ISNUMBER('Workstreams'!$M7),ISNUMBER('Workstreams'!$N7)),IF(AND(AY$6&gt;='Workstreams'!$M7,AY$6&lt;='Workstreams'!$N7),IF('Workstreams'!$R7="Accepted","Done","Plan"),""),"Inputs needed")</x:f>
      </x:c>
      <x:c r="AZ7" s="17" t="str">
        <x:f>IF(AND(ISNUMBER('Workstreams'!$M7),ISNUMBER('Workstreams'!$N7)),IF(AND(AZ$6&gt;='Workstreams'!$M7,AZ$6&lt;='Workstreams'!$N7),IF('Workstreams'!$R7="Accepted","Done","Plan"),""),"Inputs needed")</x:f>
      </x:c>
      <x:c r="BA7" s="17" t="str">
        <x:f>IF(AND(ISNUMBER('Workstreams'!$M7),ISNUMBER('Workstreams'!$N7)),IF(AND(BA$6&gt;='Workstreams'!$M7,BA$6&lt;='Workstreams'!$N7),IF('Workstreams'!$R7="Accepted","Done","Plan"),""),"Inputs needed")</x:f>
      </x:c>
      <x:c r="BB7" s="17" t="str">
        <x:f>IF(AND(ISNUMBER('Workstreams'!$M7),ISNUMBER('Workstreams'!$N7)),IF(AND(BB$6&gt;='Workstreams'!$M7,BB$6&lt;='Workstreams'!$N7),IF('Workstreams'!$R7="Accepted","Done","Plan"),""),"Inputs needed")</x:f>
      </x:c>
      <x:c r="BC7" s="17" t="str">
        <x:f>IF(AND(ISNUMBER('Workstreams'!$M7),ISNUMBER('Workstreams'!$N7)),IF(AND(BC$6&gt;='Workstreams'!$M7,BC$6&lt;='Workstreams'!$N7),IF('Workstreams'!$R7="Accepted","Done","Plan"),""),"Inputs needed")</x:f>
      </x:c>
      <x:c r="BD7" s="17" t="str">
        <x:f>IF(AND(ISNUMBER('Workstreams'!$M7),ISNUMBER('Workstreams'!$N7)),IF(AND(BD$6&gt;='Workstreams'!$M7,BD$6&lt;='Workstreams'!$N7),IF('Workstreams'!$R7="Accepted","Done","Plan"),""),"Inputs needed")</x:f>
      </x:c>
    </x:row>
    <x:row r="8" ht="48" customHeight="1">
      <x:c r="A8" s="8" t="str">
        <x:f>'Workstreams'!A8</x:f>
        <x:v>W02</x:v>
      </x:c>
      <x:c r="B8" s="8" t="str">
        <x:f>'Workstreams'!B8</x:f>
        <x:v>Complete G5–G7 development activation and closure</x:v>
      </x:c>
      <x:c r="C8" s="8" t="str">
        <x:f>'Workstreams'!D8</x:f>
        <x:v>Replit + Codex</x:v>
      </x:c>
      <x:c r="D8" s="8" t="str">
        <x:f>'Workstreams'!R8</x:f>
        <x:v>Awaiting approval</x:v>
      </x:c>
      <x:c r="E8" s="17" t="str">
        <x:f>IF(AND(ISNUMBER('Workstreams'!$M8),ISNUMBER('Workstreams'!$N8)),IF(AND(E$6&gt;='Workstreams'!$M8,E$6&lt;='Workstreams'!$N8),IF('Workstreams'!$R8="Accepted","Done","Plan"),""),"Inputs needed")</x:f>
        <x:v>Plan</x:v>
      </x:c>
      <x:c r="F8" s="17" t="str">
        <x:f>IF(AND(ISNUMBER('Workstreams'!$M8),ISNUMBER('Workstreams'!$N8)),IF(AND(F$6&gt;='Workstreams'!$M8,F$6&lt;='Workstreams'!$N8),IF('Workstreams'!$R8="Accepted","Done","Plan"),""),"Inputs needed")</x:f>
      </x:c>
      <x:c r="G8" s="17" t="str">
        <x:f>IF(AND(ISNUMBER('Workstreams'!$M8),ISNUMBER('Workstreams'!$N8)),IF(AND(G$6&gt;='Workstreams'!$M8,G$6&lt;='Workstreams'!$N8),IF('Workstreams'!$R8="Accepted","Done","Plan"),""),"Inputs needed")</x:f>
      </x:c>
      <x:c r="H8" s="17" t="str">
        <x:f>IF(AND(ISNUMBER('Workstreams'!$M8),ISNUMBER('Workstreams'!$N8)),IF(AND(H$6&gt;='Workstreams'!$M8,H$6&lt;='Workstreams'!$N8),IF('Workstreams'!$R8="Accepted","Done","Plan"),""),"Inputs needed")</x:f>
      </x:c>
      <x:c r="I8" s="17" t="str">
        <x:f>IF(AND(ISNUMBER('Workstreams'!$M8),ISNUMBER('Workstreams'!$N8)),IF(AND(I$6&gt;='Workstreams'!$M8,I$6&lt;='Workstreams'!$N8),IF('Workstreams'!$R8="Accepted","Done","Plan"),""),"Inputs needed")</x:f>
      </x:c>
      <x:c r="J8" s="17" t="str">
        <x:f>IF(AND(ISNUMBER('Workstreams'!$M8),ISNUMBER('Workstreams'!$N8)),IF(AND(J$6&gt;='Workstreams'!$M8,J$6&lt;='Workstreams'!$N8),IF('Workstreams'!$R8="Accepted","Done","Plan"),""),"Inputs needed")</x:f>
      </x:c>
      <x:c r="K8" s="17" t="str">
        <x:f>IF(AND(ISNUMBER('Workstreams'!$M8),ISNUMBER('Workstreams'!$N8)),IF(AND(K$6&gt;='Workstreams'!$M8,K$6&lt;='Workstreams'!$N8),IF('Workstreams'!$R8="Accepted","Done","Plan"),""),"Inputs needed")</x:f>
      </x:c>
      <x:c r="L8" s="17" t="str">
        <x:f>IF(AND(ISNUMBER('Workstreams'!$M8),ISNUMBER('Workstreams'!$N8)),IF(AND(L$6&gt;='Workstreams'!$M8,L$6&lt;='Workstreams'!$N8),IF('Workstreams'!$R8="Accepted","Done","Plan"),""),"Inputs needed")</x:f>
      </x:c>
      <x:c r="M8" s="17" t="str">
        <x:f>IF(AND(ISNUMBER('Workstreams'!$M8),ISNUMBER('Workstreams'!$N8)),IF(AND(M$6&gt;='Workstreams'!$M8,M$6&lt;='Workstreams'!$N8),IF('Workstreams'!$R8="Accepted","Done","Plan"),""),"Inputs needed")</x:f>
      </x:c>
      <x:c r="N8" s="17" t="str">
        <x:f>IF(AND(ISNUMBER('Workstreams'!$M8),ISNUMBER('Workstreams'!$N8)),IF(AND(N$6&gt;='Workstreams'!$M8,N$6&lt;='Workstreams'!$N8),IF('Workstreams'!$R8="Accepted","Done","Plan"),""),"Inputs needed")</x:f>
      </x:c>
      <x:c r="O8" s="17" t="str">
        <x:f>IF(AND(ISNUMBER('Workstreams'!$M8),ISNUMBER('Workstreams'!$N8)),IF(AND(O$6&gt;='Workstreams'!$M8,O$6&lt;='Workstreams'!$N8),IF('Workstreams'!$R8="Accepted","Done","Plan"),""),"Inputs needed")</x:f>
      </x:c>
      <x:c r="P8" s="17" t="str">
        <x:f>IF(AND(ISNUMBER('Workstreams'!$M8),ISNUMBER('Workstreams'!$N8)),IF(AND(P$6&gt;='Workstreams'!$M8,P$6&lt;='Workstreams'!$N8),IF('Workstreams'!$R8="Accepted","Done","Plan"),""),"Inputs needed")</x:f>
      </x:c>
      <x:c r="Q8" s="17" t="str">
        <x:f>IF(AND(ISNUMBER('Workstreams'!$M8),ISNUMBER('Workstreams'!$N8)),IF(AND(Q$6&gt;='Workstreams'!$M8,Q$6&lt;='Workstreams'!$N8),IF('Workstreams'!$R8="Accepted","Done","Plan"),""),"Inputs needed")</x:f>
      </x:c>
      <x:c r="R8" s="17" t="str">
        <x:f>IF(AND(ISNUMBER('Workstreams'!$M8),ISNUMBER('Workstreams'!$N8)),IF(AND(R$6&gt;='Workstreams'!$M8,R$6&lt;='Workstreams'!$N8),IF('Workstreams'!$R8="Accepted","Done","Plan"),""),"Inputs needed")</x:f>
      </x:c>
      <x:c r="S8" s="17" t="str">
        <x:f>IF(AND(ISNUMBER('Workstreams'!$M8),ISNUMBER('Workstreams'!$N8)),IF(AND(S$6&gt;='Workstreams'!$M8,S$6&lt;='Workstreams'!$N8),IF('Workstreams'!$R8="Accepted","Done","Plan"),""),"Inputs needed")</x:f>
      </x:c>
      <x:c r="T8" s="17" t="str">
        <x:f>IF(AND(ISNUMBER('Workstreams'!$M8),ISNUMBER('Workstreams'!$N8)),IF(AND(T$6&gt;='Workstreams'!$M8,T$6&lt;='Workstreams'!$N8),IF('Workstreams'!$R8="Accepted","Done","Plan"),""),"Inputs needed")</x:f>
      </x:c>
      <x:c r="U8" s="17" t="str">
        <x:f>IF(AND(ISNUMBER('Workstreams'!$M8),ISNUMBER('Workstreams'!$N8)),IF(AND(U$6&gt;='Workstreams'!$M8,U$6&lt;='Workstreams'!$N8),IF('Workstreams'!$R8="Accepted","Done","Plan"),""),"Inputs needed")</x:f>
      </x:c>
      <x:c r="V8" s="17" t="str">
        <x:f>IF(AND(ISNUMBER('Workstreams'!$M8),ISNUMBER('Workstreams'!$N8)),IF(AND(V$6&gt;='Workstreams'!$M8,V$6&lt;='Workstreams'!$N8),IF('Workstreams'!$R8="Accepted","Done","Plan"),""),"Inputs needed")</x:f>
      </x:c>
      <x:c r="W8" s="17" t="str">
        <x:f>IF(AND(ISNUMBER('Workstreams'!$M8),ISNUMBER('Workstreams'!$N8)),IF(AND(W$6&gt;='Workstreams'!$M8,W$6&lt;='Workstreams'!$N8),IF('Workstreams'!$R8="Accepted","Done","Plan"),""),"Inputs needed")</x:f>
      </x:c>
      <x:c r="X8" s="17" t="str">
        <x:f>IF(AND(ISNUMBER('Workstreams'!$M8),ISNUMBER('Workstreams'!$N8)),IF(AND(X$6&gt;='Workstreams'!$M8,X$6&lt;='Workstreams'!$N8),IF('Workstreams'!$R8="Accepted","Done","Plan"),""),"Inputs needed")</x:f>
      </x:c>
      <x:c r="Y8" s="17" t="str">
        <x:f>IF(AND(ISNUMBER('Workstreams'!$M8),ISNUMBER('Workstreams'!$N8)),IF(AND(Y$6&gt;='Workstreams'!$M8,Y$6&lt;='Workstreams'!$N8),IF('Workstreams'!$R8="Accepted","Done","Plan"),""),"Inputs needed")</x:f>
      </x:c>
      <x:c r="Z8" s="17" t="str">
        <x:f>IF(AND(ISNUMBER('Workstreams'!$M8),ISNUMBER('Workstreams'!$N8)),IF(AND(Z$6&gt;='Workstreams'!$M8,Z$6&lt;='Workstreams'!$N8),IF('Workstreams'!$R8="Accepted","Done","Plan"),""),"Inputs needed")</x:f>
      </x:c>
      <x:c r="AA8" s="17" t="str">
        <x:f>IF(AND(ISNUMBER('Workstreams'!$M8),ISNUMBER('Workstreams'!$N8)),IF(AND(AA$6&gt;='Workstreams'!$M8,AA$6&lt;='Workstreams'!$N8),IF('Workstreams'!$R8="Accepted","Done","Plan"),""),"Inputs needed")</x:f>
      </x:c>
      <x:c r="AB8" s="17" t="str">
        <x:f>IF(AND(ISNUMBER('Workstreams'!$M8),ISNUMBER('Workstreams'!$N8)),IF(AND(AB$6&gt;='Workstreams'!$M8,AB$6&lt;='Workstreams'!$N8),IF('Workstreams'!$R8="Accepted","Done","Plan"),""),"Inputs needed")</x:f>
      </x:c>
      <x:c r="AC8" s="17" t="str">
        <x:f>IF(AND(ISNUMBER('Workstreams'!$M8),ISNUMBER('Workstreams'!$N8)),IF(AND(AC$6&gt;='Workstreams'!$M8,AC$6&lt;='Workstreams'!$N8),IF('Workstreams'!$R8="Accepted","Done","Plan"),""),"Inputs needed")</x:f>
      </x:c>
      <x:c r="AD8" s="17" t="str">
        <x:f>IF(AND(ISNUMBER('Workstreams'!$M8),ISNUMBER('Workstreams'!$N8)),IF(AND(AD$6&gt;='Workstreams'!$M8,AD$6&lt;='Workstreams'!$N8),IF('Workstreams'!$R8="Accepted","Done","Plan"),""),"Inputs needed")</x:f>
      </x:c>
      <x:c r="AE8" s="17" t="str">
        <x:f>IF(AND(ISNUMBER('Workstreams'!$M8),ISNUMBER('Workstreams'!$N8)),IF(AND(AE$6&gt;='Workstreams'!$M8,AE$6&lt;='Workstreams'!$N8),IF('Workstreams'!$R8="Accepted","Done","Plan"),""),"Inputs needed")</x:f>
      </x:c>
      <x:c r="AF8" s="17" t="str">
        <x:f>IF(AND(ISNUMBER('Workstreams'!$M8),ISNUMBER('Workstreams'!$N8)),IF(AND(AF$6&gt;='Workstreams'!$M8,AF$6&lt;='Workstreams'!$N8),IF('Workstreams'!$R8="Accepted","Done","Plan"),""),"Inputs needed")</x:f>
      </x:c>
      <x:c r="AG8" s="17" t="str">
        <x:f>IF(AND(ISNUMBER('Workstreams'!$M8),ISNUMBER('Workstreams'!$N8)),IF(AND(AG$6&gt;='Workstreams'!$M8,AG$6&lt;='Workstreams'!$N8),IF('Workstreams'!$R8="Accepted","Done","Plan"),""),"Inputs needed")</x:f>
      </x:c>
      <x:c r="AH8" s="17" t="str">
        <x:f>IF(AND(ISNUMBER('Workstreams'!$M8),ISNUMBER('Workstreams'!$N8)),IF(AND(AH$6&gt;='Workstreams'!$M8,AH$6&lt;='Workstreams'!$N8),IF('Workstreams'!$R8="Accepted","Done","Plan"),""),"Inputs needed")</x:f>
      </x:c>
      <x:c r="AI8" s="17" t="str">
        <x:f>IF(AND(ISNUMBER('Workstreams'!$M8),ISNUMBER('Workstreams'!$N8)),IF(AND(AI$6&gt;='Workstreams'!$M8,AI$6&lt;='Workstreams'!$N8),IF('Workstreams'!$R8="Accepted","Done","Plan"),""),"Inputs needed")</x:f>
      </x:c>
      <x:c r="AJ8" s="17" t="str">
        <x:f>IF(AND(ISNUMBER('Workstreams'!$M8),ISNUMBER('Workstreams'!$N8)),IF(AND(AJ$6&gt;='Workstreams'!$M8,AJ$6&lt;='Workstreams'!$N8),IF('Workstreams'!$R8="Accepted","Done","Plan"),""),"Inputs needed")</x:f>
      </x:c>
      <x:c r="AK8" s="17" t="str">
        <x:f>IF(AND(ISNUMBER('Workstreams'!$M8),ISNUMBER('Workstreams'!$N8)),IF(AND(AK$6&gt;='Workstreams'!$M8,AK$6&lt;='Workstreams'!$N8),IF('Workstreams'!$R8="Accepted","Done","Plan"),""),"Inputs needed")</x:f>
      </x:c>
      <x:c r="AL8" s="17" t="str">
        <x:f>IF(AND(ISNUMBER('Workstreams'!$M8),ISNUMBER('Workstreams'!$N8)),IF(AND(AL$6&gt;='Workstreams'!$M8,AL$6&lt;='Workstreams'!$N8),IF('Workstreams'!$R8="Accepted","Done","Plan"),""),"Inputs needed")</x:f>
      </x:c>
      <x:c r="AM8" s="17" t="str">
        <x:f>IF(AND(ISNUMBER('Workstreams'!$M8),ISNUMBER('Workstreams'!$N8)),IF(AND(AM$6&gt;='Workstreams'!$M8,AM$6&lt;='Workstreams'!$N8),IF('Workstreams'!$R8="Accepted","Done","Plan"),""),"Inputs needed")</x:f>
      </x:c>
      <x:c r="AN8" s="17" t="str">
        <x:f>IF(AND(ISNUMBER('Workstreams'!$M8),ISNUMBER('Workstreams'!$N8)),IF(AND(AN$6&gt;='Workstreams'!$M8,AN$6&lt;='Workstreams'!$N8),IF('Workstreams'!$R8="Accepted","Done","Plan"),""),"Inputs needed")</x:f>
      </x:c>
      <x:c r="AO8" s="17" t="str">
        <x:f>IF(AND(ISNUMBER('Workstreams'!$M8),ISNUMBER('Workstreams'!$N8)),IF(AND(AO$6&gt;='Workstreams'!$M8,AO$6&lt;='Workstreams'!$N8),IF('Workstreams'!$R8="Accepted","Done","Plan"),""),"Inputs needed")</x:f>
      </x:c>
      <x:c r="AP8" s="17" t="str">
        <x:f>IF(AND(ISNUMBER('Workstreams'!$M8),ISNUMBER('Workstreams'!$N8)),IF(AND(AP$6&gt;='Workstreams'!$M8,AP$6&lt;='Workstreams'!$N8),IF('Workstreams'!$R8="Accepted","Done","Plan"),""),"Inputs needed")</x:f>
      </x:c>
      <x:c r="AQ8" s="17" t="str">
        <x:f>IF(AND(ISNUMBER('Workstreams'!$M8),ISNUMBER('Workstreams'!$N8)),IF(AND(AQ$6&gt;='Workstreams'!$M8,AQ$6&lt;='Workstreams'!$N8),IF('Workstreams'!$R8="Accepted","Done","Plan"),""),"Inputs needed")</x:f>
      </x:c>
      <x:c r="AR8" s="17" t="str">
        <x:f>IF(AND(ISNUMBER('Workstreams'!$M8),ISNUMBER('Workstreams'!$N8)),IF(AND(AR$6&gt;='Workstreams'!$M8,AR$6&lt;='Workstreams'!$N8),IF('Workstreams'!$R8="Accepted","Done","Plan"),""),"Inputs needed")</x:f>
      </x:c>
      <x:c r="AS8" s="17" t="str">
        <x:f>IF(AND(ISNUMBER('Workstreams'!$M8),ISNUMBER('Workstreams'!$N8)),IF(AND(AS$6&gt;='Workstreams'!$M8,AS$6&lt;='Workstreams'!$N8),IF('Workstreams'!$R8="Accepted","Done","Plan"),""),"Inputs needed")</x:f>
      </x:c>
      <x:c r="AT8" s="17" t="str">
        <x:f>IF(AND(ISNUMBER('Workstreams'!$M8),ISNUMBER('Workstreams'!$N8)),IF(AND(AT$6&gt;='Workstreams'!$M8,AT$6&lt;='Workstreams'!$N8),IF('Workstreams'!$R8="Accepted","Done","Plan"),""),"Inputs needed")</x:f>
      </x:c>
      <x:c r="AU8" s="17" t="str">
        <x:f>IF(AND(ISNUMBER('Workstreams'!$M8),ISNUMBER('Workstreams'!$N8)),IF(AND(AU$6&gt;='Workstreams'!$M8,AU$6&lt;='Workstreams'!$N8),IF('Workstreams'!$R8="Accepted","Done","Plan"),""),"Inputs needed")</x:f>
      </x:c>
      <x:c r="AV8" s="17" t="str">
        <x:f>IF(AND(ISNUMBER('Workstreams'!$M8),ISNUMBER('Workstreams'!$N8)),IF(AND(AV$6&gt;='Workstreams'!$M8,AV$6&lt;='Workstreams'!$N8),IF('Workstreams'!$R8="Accepted","Done","Plan"),""),"Inputs needed")</x:f>
      </x:c>
      <x:c r="AW8" s="17" t="str">
        <x:f>IF(AND(ISNUMBER('Workstreams'!$M8),ISNUMBER('Workstreams'!$N8)),IF(AND(AW$6&gt;='Workstreams'!$M8,AW$6&lt;='Workstreams'!$N8),IF('Workstreams'!$R8="Accepted","Done","Plan"),""),"Inputs needed")</x:f>
      </x:c>
      <x:c r="AX8" s="17" t="str">
        <x:f>IF(AND(ISNUMBER('Workstreams'!$M8),ISNUMBER('Workstreams'!$N8)),IF(AND(AX$6&gt;='Workstreams'!$M8,AX$6&lt;='Workstreams'!$N8),IF('Workstreams'!$R8="Accepted","Done","Plan"),""),"Inputs needed")</x:f>
      </x:c>
      <x:c r="AY8" s="17" t="str">
        <x:f>IF(AND(ISNUMBER('Workstreams'!$M8),ISNUMBER('Workstreams'!$N8)),IF(AND(AY$6&gt;='Workstreams'!$M8,AY$6&lt;='Workstreams'!$N8),IF('Workstreams'!$R8="Accepted","Done","Plan"),""),"Inputs needed")</x:f>
      </x:c>
      <x:c r="AZ8" s="17" t="str">
        <x:f>IF(AND(ISNUMBER('Workstreams'!$M8),ISNUMBER('Workstreams'!$N8)),IF(AND(AZ$6&gt;='Workstreams'!$M8,AZ$6&lt;='Workstreams'!$N8),IF('Workstreams'!$R8="Accepted","Done","Plan"),""),"Inputs needed")</x:f>
      </x:c>
      <x:c r="BA8" s="17" t="str">
        <x:f>IF(AND(ISNUMBER('Workstreams'!$M8),ISNUMBER('Workstreams'!$N8)),IF(AND(BA$6&gt;='Workstreams'!$M8,BA$6&lt;='Workstreams'!$N8),IF('Workstreams'!$R8="Accepted","Done","Plan"),""),"Inputs needed")</x:f>
      </x:c>
      <x:c r="BB8" s="17" t="str">
        <x:f>IF(AND(ISNUMBER('Workstreams'!$M8),ISNUMBER('Workstreams'!$N8)),IF(AND(BB$6&gt;='Workstreams'!$M8,BB$6&lt;='Workstreams'!$N8),IF('Workstreams'!$R8="Accepted","Done","Plan"),""),"Inputs needed")</x:f>
      </x:c>
      <x:c r="BC8" s="17" t="str">
        <x:f>IF(AND(ISNUMBER('Workstreams'!$M8),ISNUMBER('Workstreams'!$N8)),IF(AND(BC$6&gt;='Workstreams'!$M8,BC$6&lt;='Workstreams'!$N8),IF('Workstreams'!$R8="Accepted","Done","Plan"),""),"Inputs needed")</x:f>
      </x:c>
      <x:c r="BD8" s="17" t="str">
        <x:f>IF(AND(ISNUMBER('Workstreams'!$M8),ISNUMBER('Workstreams'!$N8)),IF(AND(BD$6&gt;='Workstreams'!$M8,BD$6&lt;='Workstreams'!$N8),IF('Workstreams'!$R8="Accepted","Done","Plan"),""),"Inputs needed")</x:f>
      </x:c>
    </x:row>
    <x:row r="9" ht="48" customHeight="1">
      <x:c r="A9" s="8" t="str">
        <x:f>'Workstreams'!A9</x:f>
        <x:v>W03</x:v>
      </x:c>
      <x:c r="B9" s="8" t="str">
        <x:f>'Workstreams'!B9</x:f>
        <x:v>Roles, write contracts and server money calculations</x:v>
      </x:c>
      <x:c r="C9" s="8" t="str">
        <x:f>'Workstreams'!D9</x:f>
        <x:v>Replit + Codex</x:v>
      </x:c>
      <x:c r="D9" s="8" t="str">
        <x:f>'Workstreams'!R9</x:f>
        <x:v>Awaiting approval</x:v>
      </x:c>
      <x:c r="E9" s="17" t="str">
        <x:f>IF(AND(ISNUMBER('Workstreams'!$M9),ISNUMBER('Workstreams'!$N9)),IF(AND(E$6&gt;='Workstreams'!$M9,E$6&lt;='Workstreams'!$N9),IF('Workstreams'!$R9="Accepted","Done","Plan"),""),"Inputs needed")</x:f>
        <x:v>Plan</x:v>
      </x:c>
      <x:c r="F9" s="17" t="str">
        <x:f>IF(AND(ISNUMBER('Workstreams'!$M9),ISNUMBER('Workstreams'!$N9)),IF(AND(F$6&gt;='Workstreams'!$M9,F$6&lt;='Workstreams'!$N9),IF('Workstreams'!$R9="Accepted","Done","Plan"),""),"Inputs needed")</x:f>
        <x:v>Plan</x:v>
      </x:c>
      <x:c r="G9" s="17" t="str">
        <x:f>IF(AND(ISNUMBER('Workstreams'!$M9),ISNUMBER('Workstreams'!$N9)),IF(AND(G$6&gt;='Workstreams'!$M9,G$6&lt;='Workstreams'!$N9),IF('Workstreams'!$R9="Accepted","Done","Plan"),""),"Inputs needed")</x:f>
        <x:v>Plan</x:v>
      </x:c>
      <x:c r="H9" s="17" t="str">
        <x:f>IF(AND(ISNUMBER('Workstreams'!$M9),ISNUMBER('Workstreams'!$N9)),IF(AND(H$6&gt;='Workstreams'!$M9,H$6&lt;='Workstreams'!$N9),IF('Workstreams'!$R9="Accepted","Done","Plan"),""),"Inputs needed")</x:f>
      </x:c>
      <x:c r="I9" s="17" t="str">
        <x:f>IF(AND(ISNUMBER('Workstreams'!$M9),ISNUMBER('Workstreams'!$N9)),IF(AND(I$6&gt;='Workstreams'!$M9,I$6&lt;='Workstreams'!$N9),IF('Workstreams'!$R9="Accepted","Done","Plan"),""),"Inputs needed")</x:f>
      </x:c>
      <x:c r="J9" s="17" t="str">
        <x:f>IF(AND(ISNUMBER('Workstreams'!$M9),ISNUMBER('Workstreams'!$N9)),IF(AND(J$6&gt;='Workstreams'!$M9,J$6&lt;='Workstreams'!$N9),IF('Workstreams'!$R9="Accepted","Done","Plan"),""),"Inputs needed")</x:f>
      </x:c>
      <x:c r="K9" s="17" t="str">
        <x:f>IF(AND(ISNUMBER('Workstreams'!$M9),ISNUMBER('Workstreams'!$N9)),IF(AND(K$6&gt;='Workstreams'!$M9,K$6&lt;='Workstreams'!$N9),IF('Workstreams'!$R9="Accepted","Done","Plan"),""),"Inputs needed")</x:f>
      </x:c>
      <x:c r="L9" s="17" t="str">
        <x:f>IF(AND(ISNUMBER('Workstreams'!$M9),ISNUMBER('Workstreams'!$N9)),IF(AND(L$6&gt;='Workstreams'!$M9,L$6&lt;='Workstreams'!$N9),IF('Workstreams'!$R9="Accepted","Done","Plan"),""),"Inputs needed")</x:f>
      </x:c>
      <x:c r="M9" s="17" t="str">
        <x:f>IF(AND(ISNUMBER('Workstreams'!$M9),ISNUMBER('Workstreams'!$N9)),IF(AND(M$6&gt;='Workstreams'!$M9,M$6&lt;='Workstreams'!$N9),IF('Workstreams'!$R9="Accepted","Done","Plan"),""),"Inputs needed")</x:f>
      </x:c>
      <x:c r="N9" s="17" t="str">
        <x:f>IF(AND(ISNUMBER('Workstreams'!$M9),ISNUMBER('Workstreams'!$N9)),IF(AND(N$6&gt;='Workstreams'!$M9,N$6&lt;='Workstreams'!$N9),IF('Workstreams'!$R9="Accepted","Done","Plan"),""),"Inputs needed")</x:f>
      </x:c>
      <x:c r="O9" s="17" t="str">
        <x:f>IF(AND(ISNUMBER('Workstreams'!$M9),ISNUMBER('Workstreams'!$N9)),IF(AND(O$6&gt;='Workstreams'!$M9,O$6&lt;='Workstreams'!$N9),IF('Workstreams'!$R9="Accepted","Done","Plan"),""),"Inputs needed")</x:f>
      </x:c>
      <x:c r="P9" s="17" t="str">
        <x:f>IF(AND(ISNUMBER('Workstreams'!$M9),ISNUMBER('Workstreams'!$N9)),IF(AND(P$6&gt;='Workstreams'!$M9,P$6&lt;='Workstreams'!$N9),IF('Workstreams'!$R9="Accepted","Done","Plan"),""),"Inputs needed")</x:f>
      </x:c>
      <x:c r="Q9" s="17" t="str">
        <x:f>IF(AND(ISNUMBER('Workstreams'!$M9),ISNUMBER('Workstreams'!$N9)),IF(AND(Q$6&gt;='Workstreams'!$M9,Q$6&lt;='Workstreams'!$N9),IF('Workstreams'!$R9="Accepted","Done","Plan"),""),"Inputs needed")</x:f>
      </x:c>
      <x:c r="R9" s="17" t="str">
        <x:f>IF(AND(ISNUMBER('Workstreams'!$M9),ISNUMBER('Workstreams'!$N9)),IF(AND(R$6&gt;='Workstreams'!$M9,R$6&lt;='Workstreams'!$N9),IF('Workstreams'!$R9="Accepted","Done","Plan"),""),"Inputs needed")</x:f>
      </x:c>
      <x:c r="S9" s="17" t="str">
        <x:f>IF(AND(ISNUMBER('Workstreams'!$M9),ISNUMBER('Workstreams'!$N9)),IF(AND(S$6&gt;='Workstreams'!$M9,S$6&lt;='Workstreams'!$N9),IF('Workstreams'!$R9="Accepted","Done","Plan"),""),"Inputs needed")</x:f>
      </x:c>
      <x:c r="T9" s="17" t="str">
        <x:f>IF(AND(ISNUMBER('Workstreams'!$M9),ISNUMBER('Workstreams'!$N9)),IF(AND(T$6&gt;='Workstreams'!$M9,T$6&lt;='Workstreams'!$N9),IF('Workstreams'!$R9="Accepted","Done","Plan"),""),"Inputs needed")</x:f>
      </x:c>
      <x:c r="U9" s="17" t="str">
        <x:f>IF(AND(ISNUMBER('Workstreams'!$M9),ISNUMBER('Workstreams'!$N9)),IF(AND(U$6&gt;='Workstreams'!$M9,U$6&lt;='Workstreams'!$N9),IF('Workstreams'!$R9="Accepted","Done","Plan"),""),"Inputs needed")</x:f>
      </x:c>
      <x:c r="V9" s="17" t="str">
        <x:f>IF(AND(ISNUMBER('Workstreams'!$M9),ISNUMBER('Workstreams'!$N9)),IF(AND(V$6&gt;='Workstreams'!$M9,V$6&lt;='Workstreams'!$N9),IF('Workstreams'!$R9="Accepted","Done","Plan"),""),"Inputs needed")</x:f>
      </x:c>
      <x:c r="W9" s="17" t="str">
        <x:f>IF(AND(ISNUMBER('Workstreams'!$M9),ISNUMBER('Workstreams'!$N9)),IF(AND(W$6&gt;='Workstreams'!$M9,W$6&lt;='Workstreams'!$N9),IF('Workstreams'!$R9="Accepted","Done","Plan"),""),"Inputs needed")</x:f>
      </x:c>
      <x:c r="X9" s="17" t="str">
        <x:f>IF(AND(ISNUMBER('Workstreams'!$M9),ISNUMBER('Workstreams'!$N9)),IF(AND(X$6&gt;='Workstreams'!$M9,X$6&lt;='Workstreams'!$N9),IF('Workstreams'!$R9="Accepted","Done","Plan"),""),"Inputs needed")</x:f>
      </x:c>
      <x:c r="Y9" s="17" t="str">
        <x:f>IF(AND(ISNUMBER('Workstreams'!$M9),ISNUMBER('Workstreams'!$N9)),IF(AND(Y$6&gt;='Workstreams'!$M9,Y$6&lt;='Workstreams'!$N9),IF('Workstreams'!$R9="Accepted","Done","Plan"),""),"Inputs needed")</x:f>
      </x:c>
      <x:c r="Z9" s="17" t="str">
        <x:f>IF(AND(ISNUMBER('Workstreams'!$M9),ISNUMBER('Workstreams'!$N9)),IF(AND(Z$6&gt;='Workstreams'!$M9,Z$6&lt;='Workstreams'!$N9),IF('Workstreams'!$R9="Accepted","Done","Plan"),""),"Inputs needed")</x:f>
      </x:c>
      <x:c r="AA9" s="17" t="str">
        <x:f>IF(AND(ISNUMBER('Workstreams'!$M9),ISNUMBER('Workstreams'!$N9)),IF(AND(AA$6&gt;='Workstreams'!$M9,AA$6&lt;='Workstreams'!$N9),IF('Workstreams'!$R9="Accepted","Done","Plan"),""),"Inputs needed")</x:f>
      </x:c>
      <x:c r="AB9" s="17" t="str">
        <x:f>IF(AND(ISNUMBER('Workstreams'!$M9),ISNUMBER('Workstreams'!$N9)),IF(AND(AB$6&gt;='Workstreams'!$M9,AB$6&lt;='Workstreams'!$N9),IF('Workstreams'!$R9="Accepted","Done","Plan"),""),"Inputs needed")</x:f>
      </x:c>
      <x:c r="AC9" s="17" t="str">
        <x:f>IF(AND(ISNUMBER('Workstreams'!$M9),ISNUMBER('Workstreams'!$N9)),IF(AND(AC$6&gt;='Workstreams'!$M9,AC$6&lt;='Workstreams'!$N9),IF('Workstreams'!$R9="Accepted","Done","Plan"),""),"Inputs needed")</x:f>
      </x:c>
      <x:c r="AD9" s="17" t="str">
        <x:f>IF(AND(ISNUMBER('Workstreams'!$M9),ISNUMBER('Workstreams'!$N9)),IF(AND(AD$6&gt;='Workstreams'!$M9,AD$6&lt;='Workstreams'!$N9),IF('Workstreams'!$R9="Accepted","Done","Plan"),""),"Inputs needed")</x:f>
      </x:c>
      <x:c r="AE9" s="17" t="str">
        <x:f>IF(AND(ISNUMBER('Workstreams'!$M9),ISNUMBER('Workstreams'!$N9)),IF(AND(AE$6&gt;='Workstreams'!$M9,AE$6&lt;='Workstreams'!$N9),IF('Workstreams'!$R9="Accepted","Done","Plan"),""),"Inputs needed")</x:f>
      </x:c>
      <x:c r="AF9" s="17" t="str">
        <x:f>IF(AND(ISNUMBER('Workstreams'!$M9),ISNUMBER('Workstreams'!$N9)),IF(AND(AF$6&gt;='Workstreams'!$M9,AF$6&lt;='Workstreams'!$N9),IF('Workstreams'!$R9="Accepted","Done","Plan"),""),"Inputs needed")</x:f>
      </x:c>
      <x:c r="AG9" s="17" t="str">
        <x:f>IF(AND(ISNUMBER('Workstreams'!$M9),ISNUMBER('Workstreams'!$N9)),IF(AND(AG$6&gt;='Workstreams'!$M9,AG$6&lt;='Workstreams'!$N9),IF('Workstreams'!$R9="Accepted","Done","Plan"),""),"Inputs needed")</x:f>
      </x:c>
      <x:c r="AH9" s="17" t="str">
        <x:f>IF(AND(ISNUMBER('Workstreams'!$M9),ISNUMBER('Workstreams'!$N9)),IF(AND(AH$6&gt;='Workstreams'!$M9,AH$6&lt;='Workstreams'!$N9),IF('Workstreams'!$R9="Accepted","Done","Plan"),""),"Inputs needed")</x:f>
      </x:c>
      <x:c r="AI9" s="17" t="str">
        <x:f>IF(AND(ISNUMBER('Workstreams'!$M9),ISNUMBER('Workstreams'!$N9)),IF(AND(AI$6&gt;='Workstreams'!$M9,AI$6&lt;='Workstreams'!$N9),IF('Workstreams'!$R9="Accepted","Done","Plan"),""),"Inputs needed")</x:f>
      </x:c>
      <x:c r="AJ9" s="17" t="str">
        <x:f>IF(AND(ISNUMBER('Workstreams'!$M9),ISNUMBER('Workstreams'!$N9)),IF(AND(AJ$6&gt;='Workstreams'!$M9,AJ$6&lt;='Workstreams'!$N9),IF('Workstreams'!$R9="Accepted","Done","Plan"),""),"Inputs needed")</x:f>
      </x:c>
      <x:c r="AK9" s="17" t="str">
        <x:f>IF(AND(ISNUMBER('Workstreams'!$M9),ISNUMBER('Workstreams'!$N9)),IF(AND(AK$6&gt;='Workstreams'!$M9,AK$6&lt;='Workstreams'!$N9),IF('Workstreams'!$R9="Accepted","Done","Plan"),""),"Inputs needed")</x:f>
      </x:c>
      <x:c r="AL9" s="17" t="str">
        <x:f>IF(AND(ISNUMBER('Workstreams'!$M9),ISNUMBER('Workstreams'!$N9)),IF(AND(AL$6&gt;='Workstreams'!$M9,AL$6&lt;='Workstreams'!$N9),IF('Workstreams'!$R9="Accepted","Done","Plan"),""),"Inputs needed")</x:f>
      </x:c>
      <x:c r="AM9" s="17" t="str">
        <x:f>IF(AND(ISNUMBER('Workstreams'!$M9),ISNUMBER('Workstreams'!$N9)),IF(AND(AM$6&gt;='Workstreams'!$M9,AM$6&lt;='Workstreams'!$N9),IF('Workstreams'!$R9="Accepted","Done","Plan"),""),"Inputs needed")</x:f>
      </x:c>
      <x:c r="AN9" s="17" t="str">
        <x:f>IF(AND(ISNUMBER('Workstreams'!$M9),ISNUMBER('Workstreams'!$N9)),IF(AND(AN$6&gt;='Workstreams'!$M9,AN$6&lt;='Workstreams'!$N9),IF('Workstreams'!$R9="Accepted","Done","Plan"),""),"Inputs needed")</x:f>
      </x:c>
      <x:c r="AO9" s="17" t="str">
        <x:f>IF(AND(ISNUMBER('Workstreams'!$M9),ISNUMBER('Workstreams'!$N9)),IF(AND(AO$6&gt;='Workstreams'!$M9,AO$6&lt;='Workstreams'!$N9),IF('Workstreams'!$R9="Accepted","Done","Plan"),""),"Inputs needed")</x:f>
      </x:c>
      <x:c r="AP9" s="17" t="str">
        <x:f>IF(AND(ISNUMBER('Workstreams'!$M9),ISNUMBER('Workstreams'!$N9)),IF(AND(AP$6&gt;='Workstreams'!$M9,AP$6&lt;='Workstreams'!$N9),IF('Workstreams'!$R9="Accepted","Done","Plan"),""),"Inputs needed")</x:f>
      </x:c>
      <x:c r="AQ9" s="17" t="str">
        <x:f>IF(AND(ISNUMBER('Workstreams'!$M9),ISNUMBER('Workstreams'!$N9)),IF(AND(AQ$6&gt;='Workstreams'!$M9,AQ$6&lt;='Workstreams'!$N9),IF('Workstreams'!$R9="Accepted","Done","Plan"),""),"Inputs needed")</x:f>
      </x:c>
      <x:c r="AR9" s="17" t="str">
        <x:f>IF(AND(ISNUMBER('Workstreams'!$M9),ISNUMBER('Workstreams'!$N9)),IF(AND(AR$6&gt;='Workstreams'!$M9,AR$6&lt;='Workstreams'!$N9),IF('Workstreams'!$R9="Accepted","Done","Plan"),""),"Inputs needed")</x:f>
      </x:c>
      <x:c r="AS9" s="17" t="str">
        <x:f>IF(AND(ISNUMBER('Workstreams'!$M9),ISNUMBER('Workstreams'!$N9)),IF(AND(AS$6&gt;='Workstreams'!$M9,AS$6&lt;='Workstreams'!$N9),IF('Workstreams'!$R9="Accepted","Done","Plan"),""),"Inputs needed")</x:f>
      </x:c>
      <x:c r="AT9" s="17" t="str">
        <x:f>IF(AND(ISNUMBER('Workstreams'!$M9),ISNUMBER('Workstreams'!$N9)),IF(AND(AT$6&gt;='Workstreams'!$M9,AT$6&lt;='Workstreams'!$N9),IF('Workstreams'!$R9="Accepted","Done","Plan"),""),"Inputs needed")</x:f>
      </x:c>
      <x:c r="AU9" s="17" t="str">
        <x:f>IF(AND(ISNUMBER('Workstreams'!$M9),ISNUMBER('Workstreams'!$N9)),IF(AND(AU$6&gt;='Workstreams'!$M9,AU$6&lt;='Workstreams'!$N9),IF('Workstreams'!$R9="Accepted","Done","Plan"),""),"Inputs needed")</x:f>
      </x:c>
      <x:c r="AV9" s="17" t="str">
        <x:f>IF(AND(ISNUMBER('Workstreams'!$M9),ISNUMBER('Workstreams'!$N9)),IF(AND(AV$6&gt;='Workstreams'!$M9,AV$6&lt;='Workstreams'!$N9),IF('Workstreams'!$R9="Accepted","Done","Plan"),""),"Inputs needed")</x:f>
      </x:c>
      <x:c r="AW9" s="17" t="str">
        <x:f>IF(AND(ISNUMBER('Workstreams'!$M9),ISNUMBER('Workstreams'!$N9)),IF(AND(AW$6&gt;='Workstreams'!$M9,AW$6&lt;='Workstreams'!$N9),IF('Workstreams'!$R9="Accepted","Done","Plan"),""),"Inputs needed")</x:f>
      </x:c>
      <x:c r="AX9" s="17" t="str">
        <x:f>IF(AND(ISNUMBER('Workstreams'!$M9),ISNUMBER('Workstreams'!$N9)),IF(AND(AX$6&gt;='Workstreams'!$M9,AX$6&lt;='Workstreams'!$N9),IF('Workstreams'!$R9="Accepted","Done","Plan"),""),"Inputs needed")</x:f>
      </x:c>
      <x:c r="AY9" s="17" t="str">
        <x:f>IF(AND(ISNUMBER('Workstreams'!$M9),ISNUMBER('Workstreams'!$N9)),IF(AND(AY$6&gt;='Workstreams'!$M9,AY$6&lt;='Workstreams'!$N9),IF('Workstreams'!$R9="Accepted","Done","Plan"),""),"Inputs needed")</x:f>
      </x:c>
      <x:c r="AZ9" s="17" t="str">
        <x:f>IF(AND(ISNUMBER('Workstreams'!$M9),ISNUMBER('Workstreams'!$N9)),IF(AND(AZ$6&gt;='Workstreams'!$M9,AZ$6&lt;='Workstreams'!$N9),IF('Workstreams'!$R9="Accepted","Done","Plan"),""),"Inputs needed")</x:f>
      </x:c>
      <x:c r="BA9" s="17" t="str">
        <x:f>IF(AND(ISNUMBER('Workstreams'!$M9),ISNUMBER('Workstreams'!$N9)),IF(AND(BA$6&gt;='Workstreams'!$M9,BA$6&lt;='Workstreams'!$N9),IF('Workstreams'!$R9="Accepted","Done","Plan"),""),"Inputs needed")</x:f>
      </x:c>
      <x:c r="BB9" s="17" t="str">
        <x:f>IF(AND(ISNUMBER('Workstreams'!$M9),ISNUMBER('Workstreams'!$N9)),IF(AND(BB$6&gt;='Workstreams'!$M9,BB$6&lt;='Workstreams'!$N9),IF('Workstreams'!$R9="Accepted","Done","Plan"),""),"Inputs needed")</x:f>
      </x:c>
      <x:c r="BC9" s="17" t="str">
        <x:f>IF(AND(ISNUMBER('Workstreams'!$M9),ISNUMBER('Workstreams'!$N9)),IF(AND(BC$6&gt;='Workstreams'!$M9,BC$6&lt;='Workstreams'!$N9),IF('Workstreams'!$R9="Accepted","Done","Plan"),""),"Inputs needed")</x:f>
      </x:c>
      <x:c r="BD9" s="17" t="str">
        <x:f>IF(AND(ISNUMBER('Workstreams'!$M9),ISNUMBER('Workstreams'!$N9)),IF(AND(BD$6&gt;='Workstreams'!$M9,BD$6&lt;='Workstreams'!$N9),IF('Workstreams'!$R9="Accepted","Done","Plan"),""),"Inputs needed")</x:f>
      </x:c>
    </x:row>
    <x:row r="10" ht="48" customHeight="1">
      <x:c r="A10" s="8" t="str">
        <x:f>'Workstreams'!A10</x:f>
        <x:v>W04</x:v>
      </x:c>
      <x:c r="B10" s="8" t="str">
        <x:f>'Workstreams'!B10</x:f>
        <x:v>Posting providers, accounts, configuration and periods</x:v>
      </x:c>
      <x:c r="C10" s="8" t="str">
        <x:f>'Workstreams'!D10</x:f>
        <x:v>Replit + Codex</x:v>
      </x:c>
      <x:c r="D10" s="8" t="str">
        <x:f>'Workstreams'!R10</x:f>
        <x:v>Awaiting approval</x:v>
      </x:c>
      <x:c r="E10" s="17" t="str">
        <x:f>IF(AND(ISNUMBER('Workstreams'!$M10),ISNUMBER('Workstreams'!$N10)),IF(AND(E$6&gt;='Workstreams'!$M10,E$6&lt;='Workstreams'!$N10),IF('Workstreams'!$R10="Accepted","Done","Plan"),""),"Inputs needed")</x:f>
      </x:c>
      <x:c r="F10" s="17" t="str">
        <x:f>IF(AND(ISNUMBER('Workstreams'!$M10),ISNUMBER('Workstreams'!$N10)),IF(AND(F$6&gt;='Workstreams'!$M10,F$6&lt;='Workstreams'!$N10),IF('Workstreams'!$R10="Accepted","Done","Plan"),""),"Inputs needed")</x:f>
      </x:c>
      <x:c r="G10" s="17" t="str">
        <x:f>IF(AND(ISNUMBER('Workstreams'!$M10),ISNUMBER('Workstreams'!$N10)),IF(AND(G$6&gt;='Workstreams'!$M10,G$6&lt;='Workstreams'!$N10),IF('Workstreams'!$R10="Accepted","Done","Plan"),""),"Inputs needed")</x:f>
        <x:v>Plan</x:v>
      </x:c>
      <x:c r="H10" s="17" t="str">
        <x:f>IF(AND(ISNUMBER('Workstreams'!$M10),ISNUMBER('Workstreams'!$N10)),IF(AND(H$6&gt;='Workstreams'!$M10,H$6&lt;='Workstreams'!$N10),IF('Workstreams'!$R10="Accepted","Done","Plan"),""),"Inputs needed")</x:f>
        <x:v>Plan</x:v>
      </x:c>
      <x:c r="I10" s="17" t="str">
        <x:f>IF(AND(ISNUMBER('Workstreams'!$M10),ISNUMBER('Workstreams'!$N10)),IF(AND(I$6&gt;='Workstreams'!$M10,I$6&lt;='Workstreams'!$N10),IF('Workstreams'!$R10="Accepted","Done","Plan"),""),"Inputs needed")</x:f>
      </x:c>
      <x:c r="J10" s="17" t="str">
        <x:f>IF(AND(ISNUMBER('Workstreams'!$M10),ISNUMBER('Workstreams'!$N10)),IF(AND(J$6&gt;='Workstreams'!$M10,J$6&lt;='Workstreams'!$N10),IF('Workstreams'!$R10="Accepted","Done","Plan"),""),"Inputs needed")</x:f>
      </x:c>
      <x:c r="K10" s="17" t="str">
        <x:f>IF(AND(ISNUMBER('Workstreams'!$M10),ISNUMBER('Workstreams'!$N10)),IF(AND(K$6&gt;='Workstreams'!$M10,K$6&lt;='Workstreams'!$N10),IF('Workstreams'!$R10="Accepted","Done","Plan"),""),"Inputs needed")</x:f>
      </x:c>
      <x:c r="L10" s="17" t="str">
        <x:f>IF(AND(ISNUMBER('Workstreams'!$M10),ISNUMBER('Workstreams'!$N10)),IF(AND(L$6&gt;='Workstreams'!$M10,L$6&lt;='Workstreams'!$N10),IF('Workstreams'!$R10="Accepted","Done","Plan"),""),"Inputs needed")</x:f>
      </x:c>
      <x:c r="M10" s="17" t="str">
        <x:f>IF(AND(ISNUMBER('Workstreams'!$M10),ISNUMBER('Workstreams'!$N10)),IF(AND(M$6&gt;='Workstreams'!$M10,M$6&lt;='Workstreams'!$N10),IF('Workstreams'!$R10="Accepted","Done","Plan"),""),"Inputs needed")</x:f>
      </x:c>
      <x:c r="N10" s="17" t="str">
        <x:f>IF(AND(ISNUMBER('Workstreams'!$M10),ISNUMBER('Workstreams'!$N10)),IF(AND(N$6&gt;='Workstreams'!$M10,N$6&lt;='Workstreams'!$N10),IF('Workstreams'!$R10="Accepted","Done","Plan"),""),"Inputs needed")</x:f>
      </x:c>
      <x:c r="O10" s="17" t="str">
        <x:f>IF(AND(ISNUMBER('Workstreams'!$M10),ISNUMBER('Workstreams'!$N10)),IF(AND(O$6&gt;='Workstreams'!$M10,O$6&lt;='Workstreams'!$N10),IF('Workstreams'!$R10="Accepted","Done","Plan"),""),"Inputs needed")</x:f>
      </x:c>
      <x:c r="P10" s="17" t="str">
        <x:f>IF(AND(ISNUMBER('Workstreams'!$M10),ISNUMBER('Workstreams'!$N10)),IF(AND(P$6&gt;='Workstreams'!$M10,P$6&lt;='Workstreams'!$N10),IF('Workstreams'!$R10="Accepted","Done","Plan"),""),"Inputs needed")</x:f>
      </x:c>
      <x:c r="Q10" s="17" t="str">
        <x:f>IF(AND(ISNUMBER('Workstreams'!$M10),ISNUMBER('Workstreams'!$N10)),IF(AND(Q$6&gt;='Workstreams'!$M10,Q$6&lt;='Workstreams'!$N10),IF('Workstreams'!$R10="Accepted","Done","Plan"),""),"Inputs needed")</x:f>
      </x:c>
      <x:c r="R10" s="17" t="str">
        <x:f>IF(AND(ISNUMBER('Workstreams'!$M10),ISNUMBER('Workstreams'!$N10)),IF(AND(R$6&gt;='Workstreams'!$M10,R$6&lt;='Workstreams'!$N10),IF('Workstreams'!$R10="Accepted","Done","Plan"),""),"Inputs needed")</x:f>
      </x:c>
      <x:c r="S10" s="17" t="str">
        <x:f>IF(AND(ISNUMBER('Workstreams'!$M10),ISNUMBER('Workstreams'!$N10)),IF(AND(S$6&gt;='Workstreams'!$M10,S$6&lt;='Workstreams'!$N10),IF('Workstreams'!$R10="Accepted","Done","Plan"),""),"Inputs needed")</x:f>
      </x:c>
      <x:c r="T10" s="17" t="str">
        <x:f>IF(AND(ISNUMBER('Workstreams'!$M10),ISNUMBER('Workstreams'!$N10)),IF(AND(T$6&gt;='Workstreams'!$M10,T$6&lt;='Workstreams'!$N10),IF('Workstreams'!$R10="Accepted","Done","Plan"),""),"Inputs needed")</x:f>
      </x:c>
      <x:c r="U10" s="17" t="str">
        <x:f>IF(AND(ISNUMBER('Workstreams'!$M10),ISNUMBER('Workstreams'!$N10)),IF(AND(U$6&gt;='Workstreams'!$M10,U$6&lt;='Workstreams'!$N10),IF('Workstreams'!$R10="Accepted","Done","Plan"),""),"Inputs needed")</x:f>
      </x:c>
      <x:c r="V10" s="17" t="str">
        <x:f>IF(AND(ISNUMBER('Workstreams'!$M10),ISNUMBER('Workstreams'!$N10)),IF(AND(V$6&gt;='Workstreams'!$M10,V$6&lt;='Workstreams'!$N10),IF('Workstreams'!$R10="Accepted","Done","Plan"),""),"Inputs needed")</x:f>
      </x:c>
      <x:c r="W10" s="17" t="str">
        <x:f>IF(AND(ISNUMBER('Workstreams'!$M10),ISNUMBER('Workstreams'!$N10)),IF(AND(W$6&gt;='Workstreams'!$M10,W$6&lt;='Workstreams'!$N10),IF('Workstreams'!$R10="Accepted","Done","Plan"),""),"Inputs needed")</x:f>
      </x:c>
      <x:c r="X10" s="17" t="str">
        <x:f>IF(AND(ISNUMBER('Workstreams'!$M10),ISNUMBER('Workstreams'!$N10)),IF(AND(X$6&gt;='Workstreams'!$M10,X$6&lt;='Workstreams'!$N10),IF('Workstreams'!$R10="Accepted","Done","Plan"),""),"Inputs needed")</x:f>
      </x:c>
      <x:c r="Y10" s="17" t="str">
        <x:f>IF(AND(ISNUMBER('Workstreams'!$M10),ISNUMBER('Workstreams'!$N10)),IF(AND(Y$6&gt;='Workstreams'!$M10,Y$6&lt;='Workstreams'!$N10),IF('Workstreams'!$R10="Accepted","Done","Plan"),""),"Inputs needed")</x:f>
      </x:c>
      <x:c r="Z10" s="17" t="str">
        <x:f>IF(AND(ISNUMBER('Workstreams'!$M10),ISNUMBER('Workstreams'!$N10)),IF(AND(Z$6&gt;='Workstreams'!$M10,Z$6&lt;='Workstreams'!$N10),IF('Workstreams'!$R10="Accepted","Done","Plan"),""),"Inputs needed")</x:f>
      </x:c>
      <x:c r="AA10" s="17" t="str">
        <x:f>IF(AND(ISNUMBER('Workstreams'!$M10),ISNUMBER('Workstreams'!$N10)),IF(AND(AA$6&gt;='Workstreams'!$M10,AA$6&lt;='Workstreams'!$N10),IF('Workstreams'!$R10="Accepted","Done","Plan"),""),"Inputs needed")</x:f>
      </x:c>
      <x:c r="AB10" s="17" t="str">
        <x:f>IF(AND(ISNUMBER('Workstreams'!$M10),ISNUMBER('Workstreams'!$N10)),IF(AND(AB$6&gt;='Workstreams'!$M10,AB$6&lt;='Workstreams'!$N10),IF('Workstreams'!$R10="Accepted","Done","Plan"),""),"Inputs needed")</x:f>
      </x:c>
      <x:c r="AC10" s="17" t="str">
        <x:f>IF(AND(ISNUMBER('Workstreams'!$M10),ISNUMBER('Workstreams'!$N10)),IF(AND(AC$6&gt;='Workstreams'!$M10,AC$6&lt;='Workstreams'!$N10),IF('Workstreams'!$R10="Accepted","Done","Plan"),""),"Inputs needed")</x:f>
      </x:c>
      <x:c r="AD10" s="17" t="str">
        <x:f>IF(AND(ISNUMBER('Workstreams'!$M10),ISNUMBER('Workstreams'!$N10)),IF(AND(AD$6&gt;='Workstreams'!$M10,AD$6&lt;='Workstreams'!$N10),IF('Workstreams'!$R10="Accepted","Done","Plan"),""),"Inputs needed")</x:f>
      </x:c>
      <x:c r="AE10" s="17" t="str">
        <x:f>IF(AND(ISNUMBER('Workstreams'!$M10),ISNUMBER('Workstreams'!$N10)),IF(AND(AE$6&gt;='Workstreams'!$M10,AE$6&lt;='Workstreams'!$N10),IF('Workstreams'!$R10="Accepted","Done","Plan"),""),"Inputs needed")</x:f>
      </x:c>
      <x:c r="AF10" s="17" t="str">
        <x:f>IF(AND(ISNUMBER('Workstreams'!$M10),ISNUMBER('Workstreams'!$N10)),IF(AND(AF$6&gt;='Workstreams'!$M10,AF$6&lt;='Workstreams'!$N10),IF('Workstreams'!$R10="Accepted","Done","Plan"),""),"Inputs needed")</x:f>
      </x:c>
      <x:c r="AG10" s="17" t="str">
        <x:f>IF(AND(ISNUMBER('Workstreams'!$M10),ISNUMBER('Workstreams'!$N10)),IF(AND(AG$6&gt;='Workstreams'!$M10,AG$6&lt;='Workstreams'!$N10),IF('Workstreams'!$R10="Accepted","Done","Plan"),""),"Inputs needed")</x:f>
      </x:c>
      <x:c r="AH10" s="17" t="str">
        <x:f>IF(AND(ISNUMBER('Workstreams'!$M10),ISNUMBER('Workstreams'!$N10)),IF(AND(AH$6&gt;='Workstreams'!$M10,AH$6&lt;='Workstreams'!$N10),IF('Workstreams'!$R10="Accepted","Done","Plan"),""),"Inputs needed")</x:f>
      </x:c>
      <x:c r="AI10" s="17" t="str">
        <x:f>IF(AND(ISNUMBER('Workstreams'!$M10),ISNUMBER('Workstreams'!$N10)),IF(AND(AI$6&gt;='Workstreams'!$M10,AI$6&lt;='Workstreams'!$N10),IF('Workstreams'!$R10="Accepted","Done","Plan"),""),"Inputs needed")</x:f>
      </x:c>
      <x:c r="AJ10" s="17" t="str">
        <x:f>IF(AND(ISNUMBER('Workstreams'!$M10),ISNUMBER('Workstreams'!$N10)),IF(AND(AJ$6&gt;='Workstreams'!$M10,AJ$6&lt;='Workstreams'!$N10),IF('Workstreams'!$R10="Accepted","Done","Plan"),""),"Inputs needed")</x:f>
      </x:c>
      <x:c r="AK10" s="17" t="str">
        <x:f>IF(AND(ISNUMBER('Workstreams'!$M10),ISNUMBER('Workstreams'!$N10)),IF(AND(AK$6&gt;='Workstreams'!$M10,AK$6&lt;='Workstreams'!$N10),IF('Workstreams'!$R10="Accepted","Done","Plan"),""),"Inputs needed")</x:f>
      </x:c>
      <x:c r="AL10" s="17" t="str">
        <x:f>IF(AND(ISNUMBER('Workstreams'!$M10),ISNUMBER('Workstreams'!$N10)),IF(AND(AL$6&gt;='Workstreams'!$M10,AL$6&lt;='Workstreams'!$N10),IF('Workstreams'!$R10="Accepted","Done","Plan"),""),"Inputs needed")</x:f>
      </x:c>
      <x:c r="AM10" s="17" t="str">
        <x:f>IF(AND(ISNUMBER('Workstreams'!$M10),ISNUMBER('Workstreams'!$N10)),IF(AND(AM$6&gt;='Workstreams'!$M10,AM$6&lt;='Workstreams'!$N10),IF('Workstreams'!$R10="Accepted","Done","Plan"),""),"Inputs needed")</x:f>
      </x:c>
      <x:c r="AN10" s="17" t="str">
        <x:f>IF(AND(ISNUMBER('Workstreams'!$M10),ISNUMBER('Workstreams'!$N10)),IF(AND(AN$6&gt;='Workstreams'!$M10,AN$6&lt;='Workstreams'!$N10),IF('Workstreams'!$R10="Accepted","Done","Plan"),""),"Inputs needed")</x:f>
      </x:c>
      <x:c r="AO10" s="17" t="str">
        <x:f>IF(AND(ISNUMBER('Workstreams'!$M10),ISNUMBER('Workstreams'!$N10)),IF(AND(AO$6&gt;='Workstreams'!$M10,AO$6&lt;='Workstreams'!$N10),IF('Workstreams'!$R10="Accepted","Done","Plan"),""),"Inputs needed")</x:f>
      </x:c>
      <x:c r="AP10" s="17" t="str">
        <x:f>IF(AND(ISNUMBER('Workstreams'!$M10),ISNUMBER('Workstreams'!$N10)),IF(AND(AP$6&gt;='Workstreams'!$M10,AP$6&lt;='Workstreams'!$N10),IF('Workstreams'!$R10="Accepted","Done","Plan"),""),"Inputs needed")</x:f>
      </x:c>
      <x:c r="AQ10" s="17" t="str">
        <x:f>IF(AND(ISNUMBER('Workstreams'!$M10),ISNUMBER('Workstreams'!$N10)),IF(AND(AQ$6&gt;='Workstreams'!$M10,AQ$6&lt;='Workstreams'!$N10),IF('Workstreams'!$R10="Accepted","Done","Plan"),""),"Inputs needed")</x:f>
      </x:c>
      <x:c r="AR10" s="17" t="str">
        <x:f>IF(AND(ISNUMBER('Workstreams'!$M10),ISNUMBER('Workstreams'!$N10)),IF(AND(AR$6&gt;='Workstreams'!$M10,AR$6&lt;='Workstreams'!$N10),IF('Workstreams'!$R10="Accepted","Done","Plan"),""),"Inputs needed")</x:f>
      </x:c>
      <x:c r="AS10" s="17" t="str">
        <x:f>IF(AND(ISNUMBER('Workstreams'!$M10),ISNUMBER('Workstreams'!$N10)),IF(AND(AS$6&gt;='Workstreams'!$M10,AS$6&lt;='Workstreams'!$N10),IF('Workstreams'!$R10="Accepted","Done","Plan"),""),"Inputs needed")</x:f>
      </x:c>
      <x:c r="AT10" s="17" t="str">
        <x:f>IF(AND(ISNUMBER('Workstreams'!$M10),ISNUMBER('Workstreams'!$N10)),IF(AND(AT$6&gt;='Workstreams'!$M10,AT$6&lt;='Workstreams'!$N10),IF('Workstreams'!$R10="Accepted","Done","Plan"),""),"Inputs needed")</x:f>
      </x:c>
      <x:c r="AU10" s="17" t="str">
        <x:f>IF(AND(ISNUMBER('Workstreams'!$M10),ISNUMBER('Workstreams'!$N10)),IF(AND(AU$6&gt;='Workstreams'!$M10,AU$6&lt;='Workstreams'!$N10),IF('Workstreams'!$R10="Accepted","Done","Plan"),""),"Inputs needed")</x:f>
      </x:c>
      <x:c r="AV10" s="17" t="str">
        <x:f>IF(AND(ISNUMBER('Workstreams'!$M10),ISNUMBER('Workstreams'!$N10)),IF(AND(AV$6&gt;='Workstreams'!$M10,AV$6&lt;='Workstreams'!$N10),IF('Workstreams'!$R10="Accepted","Done","Plan"),""),"Inputs needed")</x:f>
      </x:c>
      <x:c r="AW10" s="17" t="str">
        <x:f>IF(AND(ISNUMBER('Workstreams'!$M10),ISNUMBER('Workstreams'!$N10)),IF(AND(AW$6&gt;='Workstreams'!$M10,AW$6&lt;='Workstreams'!$N10),IF('Workstreams'!$R10="Accepted","Done","Plan"),""),"Inputs needed")</x:f>
      </x:c>
      <x:c r="AX10" s="17" t="str">
        <x:f>IF(AND(ISNUMBER('Workstreams'!$M10),ISNUMBER('Workstreams'!$N10)),IF(AND(AX$6&gt;='Workstreams'!$M10,AX$6&lt;='Workstreams'!$N10),IF('Workstreams'!$R10="Accepted","Done","Plan"),""),"Inputs needed")</x:f>
      </x:c>
      <x:c r="AY10" s="17" t="str">
        <x:f>IF(AND(ISNUMBER('Workstreams'!$M10),ISNUMBER('Workstreams'!$N10)),IF(AND(AY$6&gt;='Workstreams'!$M10,AY$6&lt;='Workstreams'!$N10),IF('Workstreams'!$R10="Accepted","Done","Plan"),""),"Inputs needed")</x:f>
      </x:c>
      <x:c r="AZ10" s="17" t="str">
        <x:f>IF(AND(ISNUMBER('Workstreams'!$M10),ISNUMBER('Workstreams'!$N10)),IF(AND(AZ$6&gt;='Workstreams'!$M10,AZ$6&lt;='Workstreams'!$N10),IF('Workstreams'!$R10="Accepted","Done","Plan"),""),"Inputs needed")</x:f>
      </x:c>
      <x:c r="BA10" s="17" t="str">
        <x:f>IF(AND(ISNUMBER('Workstreams'!$M10),ISNUMBER('Workstreams'!$N10)),IF(AND(BA$6&gt;='Workstreams'!$M10,BA$6&lt;='Workstreams'!$N10),IF('Workstreams'!$R10="Accepted","Done","Plan"),""),"Inputs needed")</x:f>
      </x:c>
      <x:c r="BB10" s="17" t="str">
        <x:f>IF(AND(ISNUMBER('Workstreams'!$M10),ISNUMBER('Workstreams'!$N10)),IF(AND(BB$6&gt;='Workstreams'!$M10,BB$6&lt;='Workstreams'!$N10),IF('Workstreams'!$R10="Accepted","Done","Plan"),""),"Inputs needed")</x:f>
      </x:c>
      <x:c r="BC10" s="17" t="str">
        <x:f>IF(AND(ISNUMBER('Workstreams'!$M10),ISNUMBER('Workstreams'!$N10)),IF(AND(BC$6&gt;='Workstreams'!$M10,BC$6&lt;='Workstreams'!$N10),IF('Workstreams'!$R10="Accepted","Done","Plan"),""),"Inputs needed")</x:f>
      </x:c>
      <x:c r="BD10" s="17" t="str">
        <x:f>IF(AND(ISNUMBER('Workstreams'!$M10),ISNUMBER('Workstreams'!$N10)),IF(AND(BD$6&gt;='Workstreams'!$M10,BD$6&lt;='Workstreams'!$N10),IF('Workstreams'!$R10="Accepted","Done","Plan"),""),"Inputs needed")</x:f>
      </x:c>
    </x:row>
    <x:row r="11" ht="48" customHeight="1">
      <x:c r="A11" s="8" t="str">
        <x:f>'Workstreams'!A11</x:f>
        <x:v>W05</x:v>
      </x:c>
      <x:c r="B11" s="8" t="str">
        <x:f>'Workstreams'!B11</x:f>
        <x:v>Canonical invoice and bill lifecycle</x:v>
      </x:c>
      <x:c r="C11" s="8" t="str">
        <x:f>'Workstreams'!D11</x:f>
        <x:v>Replit + Codex</x:v>
      </x:c>
      <x:c r="D11" s="8" t="str">
        <x:f>'Workstreams'!R11</x:f>
        <x:v>Awaiting approval</x:v>
      </x:c>
      <x:c r="E11" s="17" t="str">
        <x:f>IF(AND(ISNUMBER('Workstreams'!$M11),ISNUMBER('Workstreams'!$N11)),IF(AND(E$6&gt;='Workstreams'!$M11,E$6&lt;='Workstreams'!$N11),IF('Workstreams'!$R11="Accepted","Done","Plan"),""),"Inputs needed")</x:f>
      </x:c>
      <x:c r="F11" s="17" t="str">
        <x:f>IF(AND(ISNUMBER('Workstreams'!$M11),ISNUMBER('Workstreams'!$N11)),IF(AND(F$6&gt;='Workstreams'!$M11,F$6&lt;='Workstreams'!$N11),IF('Workstreams'!$R11="Accepted","Done","Plan"),""),"Inputs needed")</x:f>
      </x:c>
      <x:c r="G11" s="17" t="str">
        <x:f>IF(AND(ISNUMBER('Workstreams'!$M11),ISNUMBER('Workstreams'!$N11)),IF(AND(G$6&gt;='Workstreams'!$M11,G$6&lt;='Workstreams'!$N11),IF('Workstreams'!$R11="Accepted","Done","Plan"),""),"Inputs needed")</x:f>
      </x:c>
      <x:c r="H11" s="17" t="str">
        <x:f>IF(AND(ISNUMBER('Workstreams'!$M11),ISNUMBER('Workstreams'!$N11)),IF(AND(H$6&gt;='Workstreams'!$M11,H$6&lt;='Workstreams'!$N11),IF('Workstreams'!$R11="Accepted","Done","Plan"),""),"Inputs needed")</x:f>
        <x:v>Plan</x:v>
      </x:c>
      <x:c r="I11" s="17" t="str">
        <x:f>IF(AND(ISNUMBER('Workstreams'!$M11),ISNUMBER('Workstreams'!$N11)),IF(AND(I$6&gt;='Workstreams'!$M11,I$6&lt;='Workstreams'!$N11),IF('Workstreams'!$R11="Accepted","Done","Plan"),""),"Inputs needed")</x:f>
        <x:v>Plan</x:v>
      </x:c>
      <x:c r="J11" s="17" t="str">
        <x:f>IF(AND(ISNUMBER('Workstreams'!$M11),ISNUMBER('Workstreams'!$N11)),IF(AND(J$6&gt;='Workstreams'!$M11,J$6&lt;='Workstreams'!$N11),IF('Workstreams'!$R11="Accepted","Done","Plan"),""),"Inputs needed")</x:f>
      </x:c>
      <x:c r="K11" s="17" t="str">
        <x:f>IF(AND(ISNUMBER('Workstreams'!$M11),ISNUMBER('Workstreams'!$N11)),IF(AND(K$6&gt;='Workstreams'!$M11,K$6&lt;='Workstreams'!$N11),IF('Workstreams'!$R11="Accepted","Done","Plan"),""),"Inputs needed")</x:f>
      </x:c>
      <x:c r="L11" s="17" t="str">
        <x:f>IF(AND(ISNUMBER('Workstreams'!$M11),ISNUMBER('Workstreams'!$N11)),IF(AND(L$6&gt;='Workstreams'!$M11,L$6&lt;='Workstreams'!$N11),IF('Workstreams'!$R11="Accepted","Done","Plan"),""),"Inputs needed")</x:f>
      </x:c>
      <x:c r="M11" s="17" t="str">
        <x:f>IF(AND(ISNUMBER('Workstreams'!$M11),ISNUMBER('Workstreams'!$N11)),IF(AND(M$6&gt;='Workstreams'!$M11,M$6&lt;='Workstreams'!$N11),IF('Workstreams'!$R11="Accepted","Done","Plan"),""),"Inputs needed")</x:f>
      </x:c>
      <x:c r="N11" s="17" t="str">
        <x:f>IF(AND(ISNUMBER('Workstreams'!$M11),ISNUMBER('Workstreams'!$N11)),IF(AND(N$6&gt;='Workstreams'!$M11,N$6&lt;='Workstreams'!$N11),IF('Workstreams'!$R11="Accepted","Done","Plan"),""),"Inputs needed")</x:f>
      </x:c>
      <x:c r="O11" s="17" t="str">
        <x:f>IF(AND(ISNUMBER('Workstreams'!$M11),ISNUMBER('Workstreams'!$N11)),IF(AND(O$6&gt;='Workstreams'!$M11,O$6&lt;='Workstreams'!$N11),IF('Workstreams'!$R11="Accepted","Done","Plan"),""),"Inputs needed")</x:f>
      </x:c>
      <x:c r="P11" s="17" t="str">
        <x:f>IF(AND(ISNUMBER('Workstreams'!$M11),ISNUMBER('Workstreams'!$N11)),IF(AND(P$6&gt;='Workstreams'!$M11,P$6&lt;='Workstreams'!$N11),IF('Workstreams'!$R11="Accepted","Done","Plan"),""),"Inputs needed")</x:f>
      </x:c>
      <x:c r="Q11" s="17" t="str">
        <x:f>IF(AND(ISNUMBER('Workstreams'!$M11),ISNUMBER('Workstreams'!$N11)),IF(AND(Q$6&gt;='Workstreams'!$M11,Q$6&lt;='Workstreams'!$N11),IF('Workstreams'!$R11="Accepted","Done","Plan"),""),"Inputs needed")</x:f>
      </x:c>
      <x:c r="R11" s="17" t="str">
        <x:f>IF(AND(ISNUMBER('Workstreams'!$M11),ISNUMBER('Workstreams'!$N11)),IF(AND(R$6&gt;='Workstreams'!$M11,R$6&lt;='Workstreams'!$N11),IF('Workstreams'!$R11="Accepted","Done","Plan"),""),"Inputs needed")</x:f>
      </x:c>
      <x:c r="S11" s="17" t="str">
        <x:f>IF(AND(ISNUMBER('Workstreams'!$M11),ISNUMBER('Workstreams'!$N11)),IF(AND(S$6&gt;='Workstreams'!$M11,S$6&lt;='Workstreams'!$N11),IF('Workstreams'!$R11="Accepted","Done","Plan"),""),"Inputs needed")</x:f>
      </x:c>
      <x:c r="T11" s="17" t="str">
        <x:f>IF(AND(ISNUMBER('Workstreams'!$M11),ISNUMBER('Workstreams'!$N11)),IF(AND(T$6&gt;='Workstreams'!$M11,T$6&lt;='Workstreams'!$N11),IF('Workstreams'!$R11="Accepted","Done","Plan"),""),"Inputs needed")</x:f>
      </x:c>
      <x:c r="U11" s="17" t="str">
        <x:f>IF(AND(ISNUMBER('Workstreams'!$M11),ISNUMBER('Workstreams'!$N11)),IF(AND(U$6&gt;='Workstreams'!$M11,U$6&lt;='Workstreams'!$N11),IF('Workstreams'!$R11="Accepted","Done","Plan"),""),"Inputs needed")</x:f>
      </x:c>
      <x:c r="V11" s="17" t="str">
        <x:f>IF(AND(ISNUMBER('Workstreams'!$M11),ISNUMBER('Workstreams'!$N11)),IF(AND(V$6&gt;='Workstreams'!$M11,V$6&lt;='Workstreams'!$N11),IF('Workstreams'!$R11="Accepted","Done","Plan"),""),"Inputs needed")</x:f>
      </x:c>
      <x:c r="W11" s="17" t="str">
        <x:f>IF(AND(ISNUMBER('Workstreams'!$M11),ISNUMBER('Workstreams'!$N11)),IF(AND(W$6&gt;='Workstreams'!$M11,W$6&lt;='Workstreams'!$N11),IF('Workstreams'!$R11="Accepted","Done","Plan"),""),"Inputs needed")</x:f>
      </x:c>
      <x:c r="X11" s="17" t="str">
        <x:f>IF(AND(ISNUMBER('Workstreams'!$M11),ISNUMBER('Workstreams'!$N11)),IF(AND(X$6&gt;='Workstreams'!$M11,X$6&lt;='Workstreams'!$N11),IF('Workstreams'!$R11="Accepted","Done","Plan"),""),"Inputs needed")</x:f>
      </x:c>
      <x:c r="Y11" s="17" t="str">
        <x:f>IF(AND(ISNUMBER('Workstreams'!$M11),ISNUMBER('Workstreams'!$N11)),IF(AND(Y$6&gt;='Workstreams'!$M11,Y$6&lt;='Workstreams'!$N11),IF('Workstreams'!$R11="Accepted","Done","Plan"),""),"Inputs needed")</x:f>
      </x:c>
      <x:c r="Z11" s="17" t="str">
        <x:f>IF(AND(ISNUMBER('Workstreams'!$M11),ISNUMBER('Workstreams'!$N11)),IF(AND(Z$6&gt;='Workstreams'!$M11,Z$6&lt;='Workstreams'!$N11),IF('Workstreams'!$R11="Accepted","Done","Plan"),""),"Inputs needed")</x:f>
      </x:c>
      <x:c r="AA11" s="17" t="str">
        <x:f>IF(AND(ISNUMBER('Workstreams'!$M11),ISNUMBER('Workstreams'!$N11)),IF(AND(AA$6&gt;='Workstreams'!$M11,AA$6&lt;='Workstreams'!$N11),IF('Workstreams'!$R11="Accepted","Done","Plan"),""),"Inputs needed")</x:f>
      </x:c>
      <x:c r="AB11" s="17" t="str">
        <x:f>IF(AND(ISNUMBER('Workstreams'!$M11),ISNUMBER('Workstreams'!$N11)),IF(AND(AB$6&gt;='Workstreams'!$M11,AB$6&lt;='Workstreams'!$N11),IF('Workstreams'!$R11="Accepted","Done","Plan"),""),"Inputs needed")</x:f>
      </x:c>
      <x:c r="AC11" s="17" t="str">
        <x:f>IF(AND(ISNUMBER('Workstreams'!$M11),ISNUMBER('Workstreams'!$N11)),IF(AND(AC$6&gt;='Workstreams'!$M11,AC$6&lt;='Workstreams'!$N11),IF('Workstreams'!$R11="Accepted","Done","Plan"),""),"Inputs needed")</x:f>
      </x:c>
      <x:c r="AD11" s="17" t="str">
        <x:f>IF(AND(ISNUMBER('Workstreams'!$M11),ISNUMBER('Workstreams'!$N11)),IF(AND(AD$6&gt;='Workstreams'!$M11,AD$6&lt;='Workstreams'!$N11),IF('Workstreams'!$R11="Accepted","Done","Plan"),""),"Inputs needed")</x:f>
      </x:c>
      <x:c r="AE11" s="17" t="str">
        <x:f>IF(AND(ISNUMBER('Workstreams'!$M11),ISNUMBER('Workstreams'!$N11)),IF(AND(AE$6&gt;='Workstreams'!$M11,AE$6&lt;='Workstreams'!$N11),IF('Workstreams'!$R11="Accepted","Done","Plan"),""),"Inputs needed")</x:f>
      </x:c>
      <x:c r="AF11" s="17" t="str">
        <x:f>IF(AND(ISNUMBER('Workstreams'!$M11),ISNUMBER('Workstreams'!$N11)),IF(AND(AF$6&gt;='Workstreams'!$M11,AF$6&lt;='Workstreams'!$N11),IF('Workstreams'!$R11="Accepted","Done","Plan"),""),"Inputs needed")</x:f>
      </x:c>
      <x:c r="AG11" s="17" t="str">
        <x:f>IF(AND(ISNUMBER('Workstreams'!$M11),ISNUMBER('Workstreams'!$N11)),IF(AND(AG$6&gt;='Workstreams'!$M11,AG$6&lt;='Workstreams'!$N11),IF('Workstreams'!$R11="Accepted","Done","Plan"),""),"Inputs needed")</x:f>
      </x:c>
      <x:c r="AH11" s="17" t="str">
        <x:f>IF(AND(ISNUMBER('Workstreams'!$M11),ISNUMBER('Workstreams'!$N11)),IF(AND(AH$6&gt;='Workstreams'!$M11,AH$6&lt;='Workstreams'!$N11),IF('Workstreams'!$R11="Accepted","Done","Plan"),""),"Inputs needed")</x:f>
      </x:c>
      <x:c r="AI11" s="17" t="str">
        <x:f>IF(AND(ISNUMBER('Workstreams'!$M11),ISNUMBER('Workstreams'!$N11)),IF(AND(AI$6&gt;='Workstreams'!$M11,AI$6&lt;='Workstreams'!$N11),IF('Workstreams'!$R11="Accepted","Done","Plan"),""),"Inputs needed")</x:f>
      </x:c>
      <x:c r="AJ11" s="17" t="str">
        <x:f>IF(AND(ISNUMBER('Workstreams'!$M11),ISNUMBER('Workstreams'!$N11)),IF(AND(AJ$6&gt;='Workstreams'!$M11,AJ$6&lt;='Workstreams'!$N11),IF('Workstreams'!$R11="Accepted","Done","Plan"),""),"Inputs needed")</x:f>
      </x:c>
      <x:c r="AK11" s="17" t="str">
        <x:f>IF(AND(ISNUMBER('Workstreams'!$M11),ISNUMBER('Workstreams'!$N11)),IF(AND(AK$6&gt;='Workstreams'!$M11,AK$6&lt;='Workstreams'!$N11),IF('Workstreams'!$R11="Accepted","Done","Plan"),""),"Inputs needed")</x:f>
      </x:c>
      <x:c r="AL11" s="17" t="str">
        <x:f>IF(AND(ISNUMBER('Workstreams'!$M11),ISNUMBER('Workstreams'!$N11)),IF(AND(AL$6&gt;='Workstreams'!$M11,AL$6&lt;='Workstreams'!$N11),IF('Workstreams'!$R11="Accepted","Done","Plan"),""),"Inputs needed")</x:f>
      </x:c>
      <x:c r="AM11" s="17" t="str">
        <x:f>IF(AND(ISNUMBER('Workstreams'!$M11),ISNUMBER('Workstreams'!$N11)),IF(AND(AM$6&gt;='Workstreams'!$M11,AM$6&lt;='Workstreams'!$N11),IF('Workstreams'!$R11="Accepted","Done","Plan"),""),"Inputs needed")</x:f>
      </x:c>
      <x:c r="AN11" s="17" t="str">
        <x:f>IF(AND(ISNUMBER('Workstreams'!$M11),ISNUMBER('Workstreams'!$N11)),IF(AND(AN$6&gt;='Workstreams'!$M11,AN$6&lt;='Workstreams'!$N11),IF('Workstreams'!$R11="Accepted","Done","Plan"),""),"Inputs needed")</x:f>
      </x:c>
      <x:c r="AO11" s="17" t="str">
        <x:f>IF(AND(ISNUMBER('Workstreams'!$M11),ISNUMBER('Workstreams'!$N11)),IF(AND(AO$6&gt;='Workstreams'!$M11,AO$6&lt;='Workstreams'!$N11),IF('Workstreams'!$R11="Accepted","Done","Plan"),""),"Inputs needed")</x:f>
      </x:c>
      <x:c r="AP11" s="17" t="str">
        <x:f>IF(AND(ISNUMBER('Workstreams'!$M11),ISNUMBER('Workstreams'!$N11)),IF(AND(AP$6&gt;='Workstreams'!$M11,AP$6&lt;='Workstreams'!$N11),IF('Workstreams'!$R11="Accepted","Done","Plan"),""),"Inputs needed")</x:f>
      </x:c>
      <x:c r="AQ11" s="17" t="str">
        <x:f>IF(AND(ISNUMBER('Workstreams'!$M11),ISNUMBER('Workstreams'!$N11)),IF(AND(AQ$6&gt;='Workstreams'!$M11,AQ$6&lt;='Workstreams'!$N11),IF('Workstreams'!$R11="Accepted","Done","Plan"),""),"Inputs needed")</x:f>
      </x:c>
      <x:c r="AR11" s="17" t="str">
        <x:f>IF(AND(ISNUMBER('Workstreams'!$M11),ISNUMBER('Workstreams'!$N11)),IF(AND(AR$6&gt;='Workstreams'!$M11,AR$6&lt;='Workstreams'!$N11),IF('Workstreams'!$R11="Accepted","Done","Plan"),""),"Inputs needed")</x:f>
      </x:c>
      <x:c r="AS11" s="17" t="str">
        <x:f>IF(AND(ISNUMBER('Workstreams'!$M11),ISNUMBER('Workstreams'!$N11)),IF(AND(AS$6&gt;='Workstreams'!$M11,AS$6&lt;='Workstreams'!$N11),IF('Workstreams'!$R11="Accepted","Done","Plan"),""),"Inputs needed")</x:f>
      </x:c>
      <x:c r="AT11" s="17" t="str">
        <x:f>IF(AND(ISNUMBER('Workstreams'!$M11),ISNUMBER('Workstreams'!$N11)),IF(AND(AT$6&gt;='Workstreams'!$M11,AT$6&lt;='Workstreams'!$N11),IF('Workstreams'!$R11="Accepted","Done","Plan"),""),"Inputs needed")</x:f>
      </x:c>
      <x:c r="AU11" s="17" t="str">
        <x:f>IF(AND(ISNUMBER('Workstreams'!$M11),ISNUMBER('Workstreams'!$N11)),IF(AND(AU$6&gt;='Workstreams'!$M11,AU$6&lt;='Workstreams'!$N11),IF('Workstreams'!$R11="Accepted","Done","Plan"),""),"Inputs needed")</x:f>
      </x:c>
      <x:c r="AV11" s="17" t="str">
        <x:f>IF(AND(ISNUMBER('Workstreams'!$M11),ISNUMBER('Workstreams'!$N11)),IF(AND(AV$6&gt;='Workstreams'!$M11,AV$6&lt;='Workstreams'!$N11),IF('Workstreams'!$R11="Accepted","Done","Plan"),""),"Inputs needed")</x:f>
      </x:c>
      <x:c r="AW11" s="17" t="str">
        <x:f>IF(AND(ISNUMBER('Workstreams'!$M11),ISNUMBER('Workstreams'!$N11)),IF(AND(AW$6&gt;='Workstreams'!$M11,AW$6&lt;='Workstreams'!$N11),IF('Workstreams'!$R11="Accepted","Done","Plan"),""),"Inputs needed")</x:f>
      </x:c>
      <x:c r="AX11" s="17" t="str">
        <x:f>IF(AND(ISNUMBER('Workstreams'!$M11),ISNUMBER('Workstreams'!$N11)),IF(AND(AX$6&gt;='Workstreams'!$M11,AX$6&lt;='Workstreams'!$N11),IF('Workstreams'!$R11="Accepted","Done","Plan"),""),"Inputs needed")</x:f>
      </x:c>
      <x:c r="AY11" s="17" t="str">
        <x:f>IF(AND(ISNUMBER('Workstreams'!$M11),ISNUMBER('Workstreams'!$N11)),IF(AND(AY$6&gt;='Workstreams'!$M11,AY$6&lt;='Workstreams'!$N11),IF('Workstreams'!$R11="Accepted","Done","Plan"),""),"Inputs needed")</x:f>
      </x:c>
      <x:c r="AZ11" s="17" t="str">
        <x:f>IF(AND(ISNUMBER('Workstreams'!$M11),ISNUMBER('Workstreams'!$N11)),IF(AND(AZ$6&gt;='Workstreams'!$M11,AZ$6&lt;='Workstreams'!$N11),IF('Workstreams'!$R11="Accepted","Done","Plan"),""),"Inputs needed")</x:f>
      </x:c>
      <x:c r="BA11" s="17" t="str">
        <x:f>IF(AND(ISNUMBER('Workstreams'!$M11),ISNUMBER('Workstreams'!$N11)),IF(AND(BA$6&gt;='Workstreams'!$M11,BA$6&lt;='Workstreams'!$N11),IF('Workstreams'!$R11="Accepted","Done","Plan"),""),"Inputs needed")</x:f>
      </x:c>
      <x:c r="BB11" s="17" t="str">
        <x:f>IF(AND(ISNUMBER('Workstreams'!$M11),ISNUMBER('Workstreams'!$N11)),IF(AND(BB$6&gt;='Workstreams'!$M11,BB$6&lt;='Workstreams'!$N11),IF('Workstreams'!$R11="Accepted","Done","Plan"),""),"Inputs needed")</x:f>
      </x:c>
      <x:c r="BC11" s="17" t="str">
        <x:f>IF(AND(ISNUMBER('Workstreams'!$M11),ISNUMBER('Workstreams'!$N11)),IF(AND(BC$6&gt;='Workstreams'!$M11,BC$6&lt;='Workstreams'!$N11),IF('Workstreams'!$R11="Accepted","Done","Plan"),""),"Inputs needed")</x:f>
      </x:c>
      <x:c r="BD11" s="17" t="str">
        <x:f>IF(AND(ISNUMBER('Workstreams'!$M11),ISNUMBER('Workstreams'!$N11)),IF(AND(BD$6&gt;='Workstreams'!$M11,BD$6&lt;='Workstreams'!$N11),IF('Workstreams'!$R11="Accepted","Done","Plan"),""),"Inputs needed")</x:f>
      </x:c>
    </x:row>
    <x:row r="12" ht="48" customHeight="1">
      <x:c r="A12" s="8" t="str">
        <x:f>'Workstreams'!A12</x:f>
        <x:v>W06</x:v>
      </x:c>
      <x:c r="B12" s="8" t="str">
        <x:f>'Workstreams'!B12</x:f>
        <x:v>Payments, allocation, credits, refunds and statements</x:v>
      </x:c>
      <x:c r="C12" s="8" t="str">
        <x:f>'Workstreams'!D12</x:f>
        <x:v>Replit + Codex</x:v>
      </x:c>
      <x:c r="D12" s="8" t="str">
        <x:f>'Workstreams'!R12</x:f>
        <x:v>Awaiting approval</x:v>
      </x:c>
      <x:c r="E12" s="17" t="str">
        <x:f>IF(AND(ISNUMBER('Workstreams'!$M12),ISNUMBER('Workstreams'!$N12)),IF(AND(E$6&gt;='Workstreams'!$M12,E$6&lt;='Workstreams'!$N12),IF('Workstreams'!$R12="Accepted","Done","Plan"),""),"Inputs needed")</x:f>
      </x:c>
      <x:c r="F12" s="17" t="str">
        <x:f>IF(AND(ISNUMBER('Workstreams'!$M12),ISNUMBER('Workstreams'!$N12)),IF(AND(F$6&gt;='Workstreams'!$M12,F$6&lt;='Workstreams'!$N12),IF('Workstreams'!$R12="Accepted","Done","Plan"),""),"Inputs needed")</x:f>
      </x:c>
      <x:c r="G12" s="17" t="str">
        <x:f>IF(AND(ISNUMBER('Workstreams'!$M12),ISNUMBER('Workstreams'!$N12)),IF(AND(G$6&gt;='Workstreams'!$M12,G$6&lt;='Workstreams'!$N12),IF('Workstreams'!$R12="Accepted","Done","Plan"),""),"Inputs needed")</x:f>
      </x:c>
      <x:c r="H12" s="17" t="str">
        <x:f>IF(AND(ISNUMBER('Workstreams'!$M12),ISNUMBER('Workstreams'!$N12)),IF(AND(H$6&gt;='Workstreams'!$M12,H$6&lt;='Workstreams'!$N12),IF('Workstreams'!$R12="Accepted","Done","Plan"),""),"Inputs needed")</x:f>
      </x:c>
      <x:c r="I12" s="17" t="str">
        <x:f>IF(AND(ISNUMBER('Workstreams'!$M12),ISNUMBER('Workstreams'!$N12)),IF(AND(I$6&gt;='Workstreams'!$M12,I$6&lt;='Workstreams'!$N12),IF('Workstreams'!$R12="Accepted","Done","Plan"),""),"Inputs needed")</x:f>
        <x:v>Plan</x:v>
      </x:c>
      <x:c r="J12" s="17" t="str">
        <x:f>IF(AND(ISNUMBER('Workstreams'!$M12),ISNUMBER('Workstreams'!$N12)),IF(AND(J$6&gt;='Workstreams'!$M12,J$6&lt;='Workstreams'!$N12),IF('Workstreams'!$R12="Accepted","Done","Plan"),""),"Inputs needed")</x:f>
        <x:v>Plan</x:v>
      </x:c>
      <x:c r="K12" s="17" t="str">
        <x:f>IF(AND(ISNUMBER('Workstreams'!$M12),ISNUMBER('Workstreams'!$N12)),IF(AND(K$6&gt;='Workstreams'!$M12,K$6&lt;='Workstreams'!$N12),IF('Workstreams'!$R12="Accepted","Done","Plan"),""),"Inputs needed")</x:f>
        <x:v>Plan</x:v>
      </x:c>
      <x:c r="L12" s="17" t="str">
        <x:f>IF(AND(ISNUMBER('Workstreams'!$M12),ISNUMBER('Workstreams'!$N12)),IF(AND(L$6&gt;='Workstreams'!$M12,L$6&lt;='Workstreams'!$N12),IF('Workstreams'!$R12="Accepted","Done","Plan"),""),"Inputs needed")</x:f>
      </x:c>
      <x:c r="M12" s="17" t="str">
        <x:f>IF(AND(ISNUMBER('Workstreams'!$M12),ISNUMBER('Workstreams'!$N12)),IF(AND(M$6&gt;='Workstreams'!$M12,M$6&lt;='Workstreams'!$N12),IF('Workstreams'!$R12="Accepted","Done","Plan"),""),"Inputs needed")</x:f>
      </x:c>
      <x:c r="N12" s="17" t="str">
        <x:f>IF(AND(ISNUMBER('Workstreams'!$M12),ISNUMBER('Workstreams'!$N12)),IF(AND(N$6&gt;='Workstreams'!$M12,N$6&lt;='Workstreams'!$N12),IF('Workstreams'!$R12="Accepted","Done","Plan"),""),"Inputs needed")</x:f>
      </x:c>
      <x:c r="O12" s="17" t="str">
        <x:f>IF(AND(ISNUMBER('Workstreams'!$M12),ISNUMBER('Workstreams'!$N12)),IF(AND(O$6&gt;='Workstreams'!$M12,O$6&lt;='Workstreams'!$N12),IF('Workstreams'!$R12="Accepted","Done","Plan"),""),"Inputs needed")</x:f>
      </x:c>
      <x:c r="P12" s="17" t="str">
        <x:f>IF(AND(ISNUMBER('Workstreams'!$M12),ISNUMBER('Workstreams'!$N12)),IF(AND(P$6&gt;='Workstreams'!$M12,P$6&lt;='Workstreams'!$N12),IF('Workstreams'!$R12="Accepted","Done","Plan"),""),"Inputs needed")</x:f>
      </x:c>
      <x:c r="Q12" s="17" t="str">
        <x:f>IF(AND(ISNUMBER('Workstreams'!$M12),ISNUMBER('Workstreams'!$N12)),IF(AND(Q$6&gt;='Workstreams'!$M12,Q$6&lt;='Workstreams'!$N12),IF('Workstreams'!$R12="Accepted","Done","Plan"),""),"Inputs needed")</x:f>
      </x:c>
      <x:c r="R12" s="17" t="str">
        <x:f>IF(AND(ISNUMBER('Workstreams'!$M12),ISNUMBER('Workstreams'!$N12)),IF(AND(R$6&gt;='Workstreams'!$M12,R$6&lt;='Workstreams'!$N12),IF('Workstreams'!$R12="Accepted","Done","Plan"),""),"Inputs needed")</x:f>
      </x:c>
      <x:c r="S12" s="17" t="str">
        <x:f>IF(AND(ISNUMBER('Workstreams'!$M12),ISNUMBER('Workstreams'!$N12)),IF(AND(S$6&gt;='Workstreams'!$M12,S$6&lt;='Workstreams'!$N12),IF('Workstreams'!$R12="Accepted","Done","Plan"),""),"Inputs needed")</x:f>
      </x:c>
      <x:c r="T12" s="17" t="str">
        <x:f>IF(AND(ISNUMBER('Workstreams'!$M12),ISNUMBER('Workstreams'!$N12)),IF(AND(T$6&gt;='Workstreams'!$M12,T$6&lt;='Workstreams'!$N12),IF('Workstreams'!$R12="Accepted","Done","Plan"),""),"Inputs needed")</x:f>
      </x:c>
      <x:c r="U12" s="17" t="str">
        <x:f>IF(AND(ISNUMBER('Workstreams'!$M12),ISNUMBER('Workstreams'!$N12)),IF(AND(U$6&gt;='Workstreams'!$M12,U$6&lt;='Workstreams'!$N12),IF('Workstreams'!$R12="Accepted","Done","Plan"),""),"Inputs needed")</x:f>
      </x:c>
      <x:c r="V12" s="17" t="str">
        <x:f>IF(AND(ISNUMBER('Workstreams'!$M12),ISNUMBER('Workstreams'!$N12)),IF(AND(V$6&gt;='Workstreams'!$M12,V$6&lt;='Workstreams'!$N12),IF('Workstreams'!$R12="Accepted","Done","Plan"),""),"Inputs needed")</x:f>
      </x:c>
      <x:c r="W12" s="17" t="str">
        <x:f>IF(AND(ISNUMBER('Workstreams'!$M12),ISNUMBER('Workstreams'!$N12)),IF(AND(W$6&gt;='Workstreams'!$M12,W$6&lt;='Workstreams'!$N12),IF('Workstreams'!$R12="Accepted","Done","Plan"),""),"Inputs needed")</x:f>
      </x:c>
      <x:c r="X12" s="17" t="str">
        <x:f>IF(AND(ISNUMBER('Workstreams'!$M12),ISNUMBER('Workstreams'!$N12)),IF(AND(X$6&gt;='Workstreams'!$M12,X$6&lt;='Workstreams'!$N12),IF('Workstreams'!$R12="Accepted","Done","Plan"),""),"Inputs needed")</x:f>
      </x:c>
      <x:c r="Y12" s="17" t="str">
        <x:f>IF(AND(ISNUMBER('Workstreams'!$M12),ISNUMBER('Workstreams'!$N12)),IF(AND(Y$6&gt;='Workstreams'!$M12,Y$6&lt;='Workstreams'!$N12),IF('Workstreams'!$R12="Accepted","Done","Plan"),""),"Inputs needed")</x:f>
      </x:c>
      <x:c r="Z12" s="17" t="str">
        <x:f>IF(AND(ISNUMBER('Workstreams'!$M12),ISNUMBER('Workstreams'!$N12)),IF(AND(Z$6&gt;='Workstreams'!$M12,Z$6&lt;='Workstreams'!$N12),IF('Workstreams'!$R12="Accepted","Done","Plan"),""),"Inputs needed")</x:f>
      </x:c>
      <x:c r="AA12" s="17" t="str">
        <x:f>IF(AND(ISNUMBER('Workstreams'!$M12),ISNUMBER('Workstreams'!$N12)),IF(AND(AA$6&gt;='Workstreams'!$M12,AA$6&lt;='Workstreams'!$N12),IF('Workstreams'!$R12="Accepted","Done","Plan"),""),"Inputs needed")</x:f>
      </x:c>
      <x:c r="AB12" s="17" t="str">
        <x:f>IF(AND(ISNUMBER('Workstreams'!$M12),ISNUMBER('Workstreams'!$N12)),IF(AND(AB$6&gt;='Workstreams'!$M12,AB$6&lt;='Workstreams'!$N12),IF('Workstreams'!$R12="Accepted","Done","Plan"),""),"Inputs needed")</x:f>
      </x:c>
      <x:c r="AC12" s="17" t="str">
        <x:f>IF(AND(ISNUMBER('Workstreams'!$M12),ISNUMBER('Workstreams'!$N12)),IF(AND(AC$6&gt;='Workstreams'!$M12,AC$6&lt;='Workstreams'!$N12),IF('Workstreams'!$R12="Accepted","Done","Plan"),""),"Inputs needed")</x:f>
      </x:c>
      <x:c r="AD12" s="17" t="str">
        <x:f>IF(AND(ISNUMBER('Workstreams'!$M12),ISNUMBER('Workstreams'!$N12)),IF(AND(AD$6&gt;='Workstreams'!$M12,AD$6&lt;='Workstreams'!$N12),IF('Workstreams'!$R12="Accepted","Done","Plan"),""),"Inputs needed")</x:f>
      </x:c>
      <x:c r="AE12" s="17" t="str">
        <x:f>IF(AND(ISNUMBER('Workstreams'!$M12),ISNUMBER('Workstreams'!$N12)),IF(AND(AE$6&gt;='Workstreams'!$M12,AE$6&lt;='Workstreams'!$N12),IF('Workstreams'!$R12="Accepted","Done","Plan"),""),"Inputs needed")</x:f>
      </x:c>
      <x:c r="AF12" s="17" t="str">
        <x:f>IF(AND(ISNUMBER('Workstreams'!$M12),ISNUMBER('Workstreams'!$N12)),IF(AND(AF$6&gt;='Workstreams'!$M12,AF$6&lt;='Workstreams'!$N12),IF('Workstreams'!$R12="Accepted","Done","Plan"),""),"Inputs needed")</x:f>
      </x:c>
      <x:c r="AG12" s="17" t="str">
        <x:f>IF(AND(ISNUMBER('Workstreams'!$M12),ISNUMBER('Workstreams'!$N12)),IF(AND(AG$6&gt;='Workstreams'!$M12,AG$6&lt;='Workstreams'!$N12),IF('Workstreams'!$R12="Accepted","Done","Plan"),""),"Inputs needed")</x:f>
      </x:c>
      <x:c r="AH12" s="17" t="str">
        <x:f>IF(AND(ISNUMBER('Workstreams'!$M12),ISNUMBER('Workstreams'!$N12)),IF(AND(AH$6&gt;='Workstreams'!$M12,AH$6&lt;='Workstreams'!$N12),IF('Workstreams'!$R12="Accepted","Done","Plan"),""),"Inputs needed")</x:f>
      </x:c>
      <x:c r="AI12" s="17" t="str">
        <x:f>IF(AND(ISNUMBER('Workstreams'!$M12),ISNUMBER('Workstreams'!$N12)),IF(AND(AI$6&gt;='Workstreams'!$M12,AI$6&lt;='Workstreams'!$N12),IF('Workstreams'!$R12="Accepted","Done","Plan"),""),"Inputs needed")</x:f>
      </x:c>
      <x:c r="AJ12" s="17" t="str">
        <x:f>IF(AND(ISNUMBER('Workstreams'!$M12),ISNUMBER('Workstreams'!$N12)),IF(AND(AJ$6&gt;='Workstreams'!$M12,AJ$6&lt;='Workstreams'!$N12),IF('Workstreams'!$R12="Accepted","Done","Plan"),""),"Inputs needed")</x:f>
      </x:c>
      <x:c r="AK12" s="17" t="str">
        <x:f>IF(AND(ISNUMBER('Workstreams'!$M12),ISNUMBER('Workstreams'!$N12)),IF(AND(AK$6&gt;='Workstreams'!$M12,AK$6&lt;='Workstreams'!$N12),IF('Workstreams'!$R12="Accepted","Done","Plan"),""),"Inputs needed")</x:f>
      </x:c>
      <x:c r="AL12" s="17" t="str">
        <x:f>IF(AND(ISNUMBER('Workstreams'!$M12),ISNUMBER('Workstreams'!$N12)),IF(AND(AL$6&gt;='Workstreams'!$M12,AL$6&lt;='Workstreams'!$N12),IF('Workstreams'!$R12="Accepted","Done","Plan"),""),"Inputs needed")</x:f>
      </x:c>
      <x:c r="AM12" s="17" t="str">
        <x:f>IF(AND(ISNUMBER('Workstreams'!$M12),ISNUMBER('Workstreams'!$N12)),IF(AND(AM$6&gt;='Workstreams'!$M12,AM$6&lt;='Workstreams'!$N12),IF('Workstreams'!$R12="Accepted","Done","Plan"),""),"Inputs needed")</x:f>
      </x:c>
      <x:c r="AN12" s="17" t="str">
        <x:f>IF(AND(ISNUMBER('Workstreams'!$M12),ISNUMBER('Workstreams'!$N12)),IF(AND(AN$6&gt;='Workstreams'!$M12,AN$6&lt;='Workstreams'!$N12),IF('Workstreams'!$R12="Accepted","Done","Plan"),""),"Inputs needed")</x:f>
      </x:c>
      <x:c r="AO12" s="17" t="str">
        <x:f>IF(AND(ISNUMBER('Workstreams'!$M12),ISNUMBER('Workstreams'!$N12)),IF(AND(AO$6&gt;='Workstreams'!$M12,AO$6&lt;='Workstreams'!$N12),IF('Workstreams'!$R12="Accepted","Done","Plan"),""),"Inputs needed")</x:f>
      </x:c>
      <x:c r="AP12" s="17" t="str">
        <x:f>IF(AND(ISNUMBER('Workstreams'!$M12),ISNUMBER('Workstreams'!$N12)),IF(AND(AP$6&gt;='Workstreams'!$M12,AP$6&lt;='Workstreams'!$N12),IF('Workstreams'!$R12="Accepted","Done","Plan"),""),"Inputs needed")</x:f>
      </x:c>
      <x:c r="AQ12" s="17" t="str">
        <x:f>IF(AND(ISNUMBER('Workstreams'!$M12),ISNUMBER('Workstreams'!$N12)),IF(AND(AQ$6&gt;='Workstreams'!$M12,AQ$6&lt;='Workstreams'!$N12),IF('Workstreams'!$R12="Accepted","Done","Plan"),""),"Inputs needed")</x:f>
      </x:c>
      <x:c r="AR12" s="17" t="str">
        <x:f>IF(AND(ISNUMBER('Workstreams'!$M12),ISNUMBER('Workstreams'!$N12)),IF(AND(AR$6&gt;='Workstreams'!$M12,AR$6&lt;='Workstreams'!$N12),IF('Workstreams'!$R12="Accepted","Done","Plan"),""),"Inputs needed")</x:f>
      </x:c>
      <x:c r="AS12" s="17" t="str">
        <x:f>IF(AND(ISNUMBER('Workstreams'!$M12),ISNUMBER('Workstreams'!$N12)),IF(AND(AS$6&gt;='Workstreams'!$M12,AS$6&lt;='Workstreams'!$N12),IF('Workstreams'!$R12="Accepted","Done","Plan"),""),"Inputs needed")</x:f>
      </x:c>
      <x:c r="AT12" s="17" t="str">
        <x:f>IF(AND(ISNUMBER('Workstreams'!$M12),ISNUMBER('Workstreams'!$N12)),IF(AND(AT$6&gt;='Workstreams'!$M12,AT$6&lt;='Workstreams'!$N12),IF('Workstreams'!$R12="Accepted","Done","Plan"),""),"Inputs needed")</x:f>
      </x:c>
      <x:c r="AU12" s="17" t="str">
        <x:f>IF(AND(ISNUMBER('Workstreams'!$M12),ISNUMBER('Workstreams'!$N12)),IF(AND(AU$6&gt;='Workstreams'!$M12,AU$6&lt;='Workstreams'!$N12),IF('Workstreams'!$R12="Accepted","Done","Plan"),""),"Inputs needed")</x:f>
      </x:c>
      <x:c r="AV12" s="17" t="str">
        <x:f>IF(AND(ISNUMBER('Workstreams'!$M12),ISNUMBER('Workstreams'!$N12)),IF(AND(AV$6&gt;='Workstreams'!$M12,AV$6&lt;='Workstreams'!$N12),IF('Workstreams'!$R12="Accepted","Done","Plan"),""),"Inputs needed")</x:f>
      </x:c>
      <x:c r="AW12" s="17" t="str">
        <x:f>IF(AND(ISNUMBER('Workstreams'!$M12),ISNUMBER('Workstreams'!$N12)),IF(AND(AW$6&gt;='Workstreams'!$M12,AW$6&lt;='Workstreams'!$N12),IF('Workstreams'!$R12="Accepted","Done","Plan"),""),"Inputs needed")</x:f>
      </x:c>
      <x:c r="AX12" s="17" t="str">
        <x:f>IF(AND(ISNUMBER('Workstreams'!$M12),ISNUMBER('Workstreams'!$N12)),IF(AND(AX$6&gt;='Workstreams'!$M12,AX$6&lt;='Workstreams'!$N12),IF('Workstreams'!$R12="Accepted","Done","Plan"),""),"Inputs needed")</x:f>
      </x:c>
      <x:c r="AY12" s="17" t="str">
        <x:f>IF(AND(ISNUMBER('Workstreams'!$M12),ISNUMBER('Workstreams'!$N12)),IF(AND(AY$6&gt;='Workstreams'!$M12,AY$6&lt;='Workstreams'!$N12),IF('Workstreams'!$R12="Accepted","Done","Plan"),""),"Inputs needed")</x:f>
      </x:c>
      <x:c r="AZ12" s="17" t="str">
        <x:f>IF(AND(ISNUMBER('Workstreams'!$M12),ISNUMBER('Workstreams'!$N12)),IF(AND(AZ$6&gt;='Workstreams'!$M12,AZ$6&lt;='Workstreams'!$N12),IF('Workstreams'!$R12="Accepted","Done","Plan"),""),"Inputs needed")</x:f>
      </x:c>
      <x:c r="BA12" s="17" t="str">
        <x:f>IF(AND(ISNUMBER('Workstreams'!$M12),ISNUMBER('Workstreams'!$N12)),IF(AND(BA$6&gt;='Workstreams'!$M12,BA$6&lt;='Workstreams'!$N12),IF('Workstreams'!$R12="Accepted","Done","Plan"),""),"Inputs needed")</x:f>
      </x:c>
      <x:c r="BB12" s="17" t="str">
        <x:f>IF(AND(ISNUMBER('Workstreams'!$M12),ISNUMBER('Workstreams'!$N12)),IF(AND(BB$6&gt;='Workstreams'!$M12,BB$6&lt;='Workstreams'!$N12),IF('Workstreams'!$R12="Accepted","Done","Plan"),""),"Inputs needed")</x:f>
      </x:c>
      <x:c r="BC12" s="17" t="str">
        <x:f>IF(AND(ISNUMBER('Workstreams'!$M12),ISNUMBER('Workstreams'!$N12)),IF(AND(BC$6&gt;='Workstreams'!$M12,BC$6&lt;='Workstreams'!$N12),IF('Workstreams'!$R12="Accepted","Done","Plan"),""),"Inputs needed")</x:f>
      </x:c>
      <x:c r="BD12" s="17" t="str">
        <x:f>IF(AND(ISNUMBER('Workstreams'!$M12),ISNUMBER('Workstreams'!$N12)),IF(AND(BD$6&gt;='Workstreams'!$M12,BD$6&lt;='Workstreams'!$N12),IF('Workstreams'!$R12="Accepted","Done","Plan"),""),"Inputs needed")</x:f>
      </x:c>
    </x:row>
    <x:row r="13" ht="48" customHeight="1">
      <x:c r="A13" s="8" t="str">
        <x:f>'Workstreams'!A13</x:f>
        <x:v>W07</x:v>
      </x:c>
      <x:c r="B13" s="8" t="str">
        <x:f>'Workstreams'!B13</x:f>
        <x:v>CSV banking, categorisation, transfers and reconciliation</x:v>
      </x:c>
      <x:c r="C13" s="8" t="str">
        <x:f>'Workstreams'!D13</x:f>
        <x:v>Replit + Codex</x:v>
      </x:c>
      <x:c r="D13" s="8" t="str">
        <x:f>'Workstreams'!R13</x:f>
        <x:v>Awaiting approval</x:v>
      </x:c>
      <x:c r="E13" s="17" t="str">
        <x:f>IF(AND(ISNUMBER('Workstreams'!$M13),ISNUMBER('Workstreams'!$N13)),IF(AND(E$6&gt;='Workstreams'!$M13,E$6&lt;='Workstreams'!$N13),IF('Workstreams'!$R13="Accepted","Done","Plan"),""),"Inputs needed")</x:f>
      </x:c>
      <x:c r="F13" s="17" t="str">
        <x:f>IF(AND(ISNUMBER('Workstreams'!$M13),ISNUMBER('Workstreams'!$N13)),IF(AND(F$6&gt;='Workstreams'!$M13,F$6&lt;='Workstreams'!$N13),IF('Workstreams'!$R13="Accepted","Done","Plan"),""),"Inputs needed")</x:f>
      </x:c>
      <x:c r="G13" s="17" t="str">
        <x:f>IF(AND(ISNUMBER('Workstreams'!$M13),ISNUMBER('Workstreams'!$N13)),IF(AND(G$6&gt;='Workstreams'!$M13,G$6&lt;='Workstreams'!$N13),IF('Workstreams'!$R13="Accepted","Done","Plan"),""),"Inputs needed")</x:f>
      </x:c>
      <x:c r="H13" s="17" t="str">
        <x:f>IF(AND(ISNUMBER('Workstreams'!$M13),ISNUMBER('Workstreams'!$N13)),IF(AND(H$6&gt;='Workstreams'!$M13,H$6&lt;='Workstreams'!$N13),IF('Workstreams'!$R13="Accepted","Done","Plan"),""),"Inputs needed")</x:f>
      </x:c>
      <x:c r="I13" s="17" t="str">
        <x:f>IF(AND(ISNUMBER('Workstreams'!$M13),ISNUMBER('Workstreams'!$N13)),IF(AND(I$6&gt;='Workstreams'!$M13,I$6&lt;='Workstreams'!$N13),IF('Workstreams'!$R13="Accepted","Done","Plan"),""),"Inputs needed")</x:f>
      </x:c>
      <x:c r="J13" s="17" t="str">
        <x:f>IF(AND(ISNUMBER('Workstreams'!$M13),ISNUMBER('Workstreams'!$N13)),IF(AND(J$6&gt;='Workstreams'!$M13,J$6&lt;='Workstreams'!$N13),IF('Workstreams'!$R13="Accepted","Done","Plan"),""),"Inputs needed")</x:f>
      </x:c>
      <x:c r="K13" s="17" t="str">
        <x:f>IF(AND(ISNUMBER('Workstreams'!$M13),ISNUMBER('Workstreams'!$N13)),IF(AND(K$6&gt;='Workstreams'!$M13,K$6&lt;='Workstreams'!$N13),IF('Workstreams'!$R13="Accepted","Done","Plan"),""),"Inputs needed")</x:f>
        <x:v>Plan</x:v>
      </x:c>
      <x:c r="L13" s="17" t="str">
        <x:f>IF(AND(ISNUMBER('Workstreams'!$M13),ISNUMBER('Workstreams'!$N13)),IF(AND(L$6&gt;='Workstreams'!$M13,L$6&lt;='Workstreams'!$N13),IF('Workstreams'!$R13="Accepted","Done","Plan"),""),"Inputs needed")</x:f>
        <x:v>Plan</x:v>
      </x:c>
      <x:c r="M13" s="17" t="str">
        <x:f>IF(AND(ISNUMBER('Workstreams'!$M13),ISNUMBER('Workstreams'!$N13)),IF(AND(M$6&gt;='Workstreams'!$M13,M$6&lt;='Workstreams'!$N13),IF('Workstreams'!$R13="Accepted","Done","Plan"),""),"Inputs needed")</x:f>
      </x:c>
      <x:c r="N13" s="17" t="str">
        <x:f>IF(AND(ISNUMBER('Workstreams'!$M13),ISNUMBER('Workstreams'!$N13)),IF(AND(N$6&gt;='Workstreams'!$M13,N$6&lt;='Workstreams'!$N13),IF('Workstreams'!$R13="Accepted","Done","Plan"),""),"Inputs needed")</x:f>
      </x:c>
      <x:c r="O13" s="17" t="str">
        <x:f>IF(AND(ISNUMBER('Workstreams'!$M13),ISNUMBER('Workstreams'!$N13)),IF(AND(O$6&gt;='Workstreams'!$M13,O$6&lt;='Workstreams'!$N13),IF('Workstreams'!$R13="Accepted","Done","Plan"),""),"Inputs needed")</x:f>
      </x:c>
      <x:c r="P13" s="17" t="str">
        <x:f>IF(AND(ISNUMBER('Workstreams'!$M13),ISNUMBER('Workstreams'!$N13)),IF(AND(P$6&gt;='Workstreams'!$M13,P$6&lt;='Workstreams'!$N13),IF('Workstreams'!$R13="Accepted","Done","Plan"),""),"Inputs needed")</x:f>
      </x:c>
      <x:c r="Q13" s="17" t="str">
        <x:f>IF(AND(ISNUMBER('Workstreams'!$M13),ISNUMBER('Workstreams'!$N13)),IF(AND(Q$6&gt;='Workstreams'!$M13,Q$6&lt;='Workstreams'!$N13),IF('Workstreams'!$R13="Accepted","Done","Plan"),""),"Inputs needed")</x:f>
      </x:c>
      <x:c r="R13" s="17" t="str">
        <x:f>IF(AND(ISNUMBER('Workstreams'!$M13),ISNUMBER('Workstreams'!$N13)),IF(AND(R$6&gt;='Workstreams'!$M13,R$6&lt;='Workstreams'!$N13),IF('Workstreams'!$R13="Accepted","Done","Plan"),""),"Inputs needed")</x:f>
      </x:c>
      <x:c r="S13" s="17" t="str">
        <x:f>IF(AND(ISNUMBER('Workstreams'!$M13),ISNUMBER('Workstreams'!$N13)),IF(AND(S$6&gt;='Workstreams'!$M13,S$6&lt;='Workstreams'!$N13),IF('Workstreams'!$R13="Accepted","Done","Plan"),""),"Inputs needed")</x:f>
      </x:c>
      <x:c r="T13" s="17" t="str">
        <x:f>IF(AND(ISNUMBER('Workstreams'!$M13),ISNUMBER('Workstreams'!$N13)),IF(AND(T$6&gt;='Workstreams'!$M13,T$6&lt;='Workstreams'!$N13),IF('Workstreams'!$R13="Accepted","Done","Plan"),""),"Inputs needed")</x:f>
      </x:c>
      <x:c r="U13" s="17" t="str">
        <x:f>IF(AND(ISNUMBER('Workstreams'!$M13),ISNUMBER('Workstreams'!$N13)),IF(AND(U$6&gt;='Workstreams'!$M13,U$6&lt;='Workstreams'!$N13),IF('Workstreams'!$R13="Accepted","Done","Plan"),""),"Inputs needed")</x:f>
      </x:c>
      <x:c r="V13" s="17" t="str">
        <x:f>IF(AND(ISNUMBER('Workstreams'!$M13),ISNUMBER('Workstreams'!$N13)),IF(AND(V$6&gt;='Workstreams'!$M13,V$6&lt;='Workstreams'!$N13),IF('Workstreams'!$R13="Accepted","Done","Plan"),""),"Inputs needed")</x:f>
      </x:c>
      <x:c r="W13" s="17" t="str">
        <x:f>IF(AND(ISNUMBER('Workstreams'!$M13),ISNUMBER('Workstreams'!$N13)),IF(AND(W$6&gt;='Workstreams'!$M13,W$6&lt;='Workstreams'!$N13),IF('Workstreams'!$R13="Accepted","Done","Plan"),""),"Inputs needed")</x:f>
      </x:c>
      <x:c r="X13" s="17" t="str">
        <x:f>IF(AND(ISNUMBER('Workstreams'!$M13),ISNUMBER('Workstreams'!$N13)),IF(AND(X$6&gt;='Workstreams'!$M13,X$6&lt;='Workstreams'!$N13),IF('Workstreams'!$R13="Accepted","Done","Plan"),""),"Inputs needed")</x:f>
      </x:c>
      <x:c r="Y13" s="17" t="str">
        <x:f>IF(AND(ISNUMBER('Workstreams'!$M13),ISNUMBER('Workstreams'!$N13)),IF(AND(Y$6&gt;='Workstreams'!$M13,Y$6&lt;='Workstreams'!$N13),IF('Workstreams'!$R13="Accepted","Done","Plan"),""),"Inputs needed")</x:f>
      </x:c>
      <x:c r="Z13" s="17" t="str">
        <x:f>IF(AND(ISNUMBER('Workstreams'!$M13),ISNUMBER('Workstreams'!$N13)),IF(AND(Z$6&gt;='Workstreams'!$M13,Z$6&lt;='Workstreams'!$N13),IF('Workstreams'!$R13="Accepted","Done","Plan"),""),"Inputs needed")</x:f>
      </x:c>
      <x:c r="AA13" s="17" t="str">
        <x:f>IF(AND(ISNUMBER('Workstreams'!$M13),ISNUMBER('Workstreams'!$N13)),IF(AND(AA$6&gt;='Workstreams'!$M13,AA$6&lt;='Workstreams'!$N13),IF('Workstreams'!$R13="Accepted","Done","Plan"),""),"Inputs needed")</x:f>
      </x:c>
      <x:c r="AB13" s="17" t="str">
        <x:f>IF(AND(ISNUMBER('Workstreams'!$M13),ISNUMBER('Workstreams'!$N13)),IF(AND(AB$6&gt;='Workstreams'!$M13,AB$6&lt;='Workstreams'!$N13),IF('Workstreams'!$R13="Accepted","Done","Plan"),""),"Inputs needed")</x:f>
      </x:c>
      <x:c r="AC13" s="17" t="str">
        <x:f>IF(AND(ISNUMBER('Workstreams'!$M13),ISNUMBER('Workstreams'!$N13)),IF(AND(AC$6&gt;='Workstreams'!$M13,AC$6&lt;='Workstreams'!$N13),IF('Workstreams'!$R13="Accepted","Done","Plan"),""),"Inputs needed")</x:f>
      </x:c>
      <x:c r="AD13" s="17" t="str">
        <x:f>IF(AND(ISNUMBER('Workstreams'!$M13),ISNUMBER('Workstreams'!$N13)),IF(AND(AD$6&gt;='Workstreams'!$M13,AD$6&lt;='Workstreams'!$N13),IF('Workstreams'!$R13="Accepted","Done","Plan"),""),"Inputs needed")</x:f>
      </x:c>
      <x:c r="AE13" s="17" t="str">
        <x:f>IF(AND(ISNUMBER('Workstreams'!$M13),ISNUMBER('Workstreams'!$N13)),IF(AND(AE$6&gt;='Workstreams'!$M13,AE$6&lt;='Workstreams'!$N13),IF('Workstreams'!$R13="Accepted","Done","Plan"),""),"Inputs needed")</x:f>
      </x:c>
      <x:c r="AF13" s="17" t="str">
        <x:f>IF(AND(ISNUMBER('Workstreams'!$M13),ISNUMBER('Workstreams'!$N13)),IF(AND(AF$6&gt;='Workstreams'!$M13,AF$6&lt;='Workstreams'!$N13),IF('Workstreams'!$R13="Accepted","Done","Plan"),""),"Inputs needed")</x:f>
      </x:c>
      <x:c r="AG13" s="17" t="str">
        <x:f>IF(AND(ISNUMBER('Workstreams'!$M13),ISNUMBER('Workstreams'!$N13)),IF(AND(AG$6&gt;='Workstreams'!$M13,AG$6&lt;='Workstreams'!$N13),IF('Workstreams'!$R13="Accepted","Done","Plan"),""),"Inputs needed")</x:f>
      </x:c>
      <x:c r="AH13" s="17" t="str">
        <x:f>IF(AND(ISNUMBER('Workstreams'!$M13),ISNUMBER('Workstreams'!$N13)),IF(AND(AH$6&gt;='Workstreams'!$M13,AH$6&lt;='Workstreams'!$N13),IF('Workstreams'!$R13="Accepted","Done","Plan"),""),"Inputs needed")</x:f>
      </x:c>
      <x:c r="AI13" s="17" t="str">
        <x:f>IF(AND(ISNUMBER('Workstreams'!$M13),ISNUMBER('Workstreams'!$N13)),IF(AND(AI$6&gt;='Workstreams'!$M13,AI$6&lt;='Workstreams'!$N13),IF('Workstreams'!$R13="Accepted","Done","Plan"),""),"Inputs needed")</x:f>
      </x:c>
      <x:c r="AJ13" s="17" t="str">
        <x:f>IF(AND(ISNUMBER('Workstreams'!$M13),ISNUMBER('Workstreams'!$N13)),IF(AND(AJ$6&gt;='Workstreams'!$M13,AJ$6&lt;='Workstreams'!$N13),IF('Workstreams'!$R13="Accepted","Done","Plan"),""),"Inputs needed")</x:f>
      </x:c>
      <x:c r="AK13" s="17" t="str">
        <x:f>IF(AND(ISNUMBER('Workstreams'!$M13),ISNUMBER('Workstreams'!$N13)),IF(AND(AK$6&gt;='Workstreams'!$M13,AK$6&lt;='Workstreams'!$N13),IF('Workstreams'!$R13="Accepted","Done","Plan"),""),"Inputs needed")</x:f>
      </x:c>
      <x:c r="AL13" s="17" t="str">
        <x:f>IF(AND(ISNUMBER('Workstreams'!$M13),ISNUMBER('Workstreams'!$N13)),IF(AND(AL$6&gt;='Workstreams'!$M13,AL$6&lt;='Workstreams'!$N13),IF('Workstreams'!$R13="Accepted","Done","Plan"),""),"Inputs needed")</x:f>
      </x:c>
      <x:c r="AM13" s="17" t="str">
        <x:f>IF(AND(ISNUMBER('Workstreams'!$M13),ISNUMBER('Workstreams'!$N13)),IF(AND(AM$6&gt;='Workstreams'!$M13,AM$6&lt;='Workstreams'!$N13),IF('Workstreams'!$R13="Accepted","Done","Plan"),""),"Inputs needed")</x:f>
      </x:c>
      <x:c r="AN13" s="17" t="str">
        <x:f>IF(AND(ISNUMBER('Workstreams'!$M13),ISNUMBER('Workstreams'!$N13)),IF(AND(AN$6&gt;='Workstreams'!$M13,AN$6&lt;='Workstreams'!$N13),IF('Workstreams'!$R13="Accepted","Done","Plan"),""),"Inputs needed")</x:f>
      </x:c>
      <x:c r="AO13" s="17" t="str">
        <x:f>IF(AND(ISNUMBER('Workstreams'!$M13),ISNUMBER('Workstreams'!$N13)),IF(AND(AO$6&gt;='Workstreams'!$M13,AO$6&lt;='Workstreams'!$N13),IF('Workstreams'!$R13="Accepted","Done","Plan"),""),"Inputs needed")</x:f>
      </x:c>
      <x:c r="AP13" s="17" t="str">
        <x:f>IF(AND(ISNUMBER('Workstreams'!$M13),ISNUMBER('Workstreams'!$N13)),IF(AND(AP$6&gt;='Workstreams'!$M13,AP$6&lt;='Workstreams'!$N13),IF('Workstreams'!$R13="Accepted","Done","Plan"),""),"Inputs needed")</x:f>
      </x:c>
      <x:c r="AQ13" s="17" t="str">
        <x:f>IF(AND(ISNUMBER('Workstreams'!$M13),ISNUMBER('Workstreams'!$N13)),IF(AND(AQ$6&gt;='Workstreams'!$M13,AQ$6&lt;='Workstreams'!$N13),IF('Workstreams'!$R13="Accepted","Done","Plan"),""),"Inputs needed")</x:f>
      </x:c>
      <x:c r="AR13" s="17" t="str">
        <x:f>IF(AND(ISNUMBER('Workstreams'!$M13),ISNUMBER('Workstreams'!$N13)),IF(AND(AR$6&gt;='Workstreams'!$M13,AR$6&lt;='Workstreams'!$N13),IF('Workstreams'!$R13="Accepted","Done","Plan"),""),"Inputs needed")</x:f>
      </x:c>
      <x:c r="AS13" s="17" t="str">
        <x:f>IF(AND(ISNUMBER('Workstreams'!$M13),ISNUMBER('Workstreams'!$N13)),IF(AND(AS$6&gt;='Workstreams'!$M13,AS$6&lt;='Workstreams'!$N13),IF('Workstreams'!$R13="Accepted","Done","Plan"),""),"Inputs needed")</x:f>
      </x:c>
      <x:c r="AT13" s="17" t="str">
        <x:f>IF(AND(ISNUMBER('Workstreams'!$M13),ISNUMBER('Workstreams'!$N13)),IF(AND(AT$6&gt;='Workstreams'!$M13,AT$6&lt;='Workstreams'!$N13),IF('Workstreams'!$R13="Accepted","Done","Plan"),""),"Inputs needed")</x:f>
      </x:c>
      <x:c r="AU13" s="17" t="str">
        <x:f>IF(AND(ISNUMBER('Workstreams'!$M13),ISNUMBER('Workstreams'!$N13)),IF(AND(AU$6&gt;='Workstreams'!$M13,AU$6&lt;='Workstreams'!$N13),IF('Workstreams'!$R13="Accepted","Done","Plan"),""),"Inputs needed")</x:f>
      </x:c>
      <x:c r="AV13" s="17" t="str">
        <x:f>IF(AND(ISNUMBER('Workstreams'!$M13),ISNUMBER('Workstreams'!$N13)),IF(AND(AV$6&gt;='Workstreams'!$M13,AV$6&lt;='Workstreams'!$N13),IF('Workstreams'!$R13="Accepted","Done","Plan"),""),"Inputs needed")</x:f>
      </x:c>
      <x:c r="AW13" s="17" t="str">
        <x:f>IF(AND(ISNUMBER('Workstreams'!$M13),ISNUMBER('Workstreams'!$N13)),IF(AND(AW$6&gt;='Workstreams'!$M13,AW$6&lt;='Workstreams'!$N13),IF('Workstreams'!$R13="Accepted","Done","Plan"),""),"Inputs needed")</x:f>
      </x:c>
      <x:c r="AX13" s="17" t="str">
        <x:f>IF(AND(ISNUMBER('Workstreams'!$M13),ISNUMBER('Workstreams'!$N13)),IF(AND(AX$6&gt;='Workstreams'!$M13,AX$6&lt;='Workstreams'!$N13),IF('Workstreams'!$R13="Accepted","Done","Plan"),""),"Inputs needed")</x:f>
      </x:c>
      <x:c r="AY13" s="17" t="str">
        <x:f>IF(AND(ISNUMBER('Workstreams'!$M13),ISNUMBER('Workstreams'!$N13)),IF(AND(AY$6&gt;='Workstreams'!$M13,AY$6&lt;='Workstreams'!$N13),IF('Workstreams'!$R13="Accepted","Done","Plan"),""),"Inputs needed")</x:f>
      </x:c>
      <x:c r="AZ13" s="17" t="str">
        <x:f>IF(AND(ISNUMBER('Workstreams'!$M13),ISNUMBER('Workstreams'!$N13)),IF(AND(AZ$6&gt;='Workstreams'!$M13,AZ$6&lt;='Workstreams'!$N13),IF('Workstreams'!$R13="Accepted","Done","Plan"),""),"Inputs needed")</x:f>
      </x:c>
      <x:c r="BA13" s="17" t="str">
        <x:f>IF(AND(ISNUMBER('Workstreams'!$M13),ISNUMBER('Workstreams'!$N13)),IF(AND(BA$6&gt;='Workstreams'!$M13,BA$6&lt;='Workstreams'!$N13),IF('Workstreams'!$R13="Accepted","Done","Plan"),""),"Inputs needed")</x:f>
      </x:c>
      <x:c r="BB13" s="17" t="str">
        <x:f>IF(AND(ISNUMBER('Workstreams'!$M13),ISNUMBER('Workstreams'!$N13)),IF(AND(BB$6&gt;='Workstreams'!$M13,BB$6&lt;='Workstreams'!$N13),IF('Workstreams'!$R13="Accepted","Done","Plan"),""),"Inputs needed")</x:f>
      </x:c>
      <x:c r="BC13" s="17" t="str">
        <x:f>IF(AND(ISNUMBER('Workstreams'!$M13),ISNUMBER('Workstreams'!$N13)),IF(AND(BC$6&gt;='Workstreams'!$M13,BC$6&lt;='Workstreams'!$N13),IF('Workstreams'!$R13="Accepted","Done","Plan"),""),"Inputs needed")</x:f>
      </x:c>
      <x:c r="BD13" s="17" t="str">
        <x:f>IF(AND(ISNUMBER('Workstreams'!$M13),ISNUMBER('Workstreams'!$N13)),IF(AND(BD$6&gt;='Workstreams'!$M13,BD$6&lt;='Workstreams'!$N13),IF('Workstreams'!$R13="Accepted","Done","Plan"),""),"Inputs needed")</x:f>
      </x:c>
    </x:row>
    <x:row r="14" ht="48" customHeight="1">
      <x:c r="A14" s="8" t="str">
        <x:f>'Workstreams'!A14</x:f>
        <x:v>W08</x:v>
      </x:c>
      <x:c r="B14" s="8" t="str">
        <x:f>'Workstreams'!B14</x:f>
        <x:v>VAT freshness, evidence and preparation/export</x:v>
      </x:c>
      <x:c r="C14" s="8" t="str">
        <x:f>'Workstreams'!D14</x:f>
        <x:v>Replit + Codex</x:v>
      </x:c>
      <x:c r="D14" s="8" t="str">
        <x:f>'Workstreams'!R14</x:f>
        <x:v>Awaiting approval</x:v>
      </x:c>
      <x:c r="E14" s="17" t="str">
        <x:f>IF(AND(ISNUMBER('Workstreams'!$M14),ISNUMBER('Workstreams'!$N14)),IF(AND(E$6&gt;='Workstreams'!$M14,E$6&lt;='Workstreams'!$N14),IF('Workstreams'!$R14="Accepted","Done","Plan"),""),"Inputs needed")</x:f>
      </x:c>
      <x:c r="F14" s="17" t="str">
        <x:f>IF(AND(ISNUMBER('Workstreams'!$M14),ISNUMBER('Workstreams'!$N14)),IF(AND(F$6&gt;='Workstreams'!$M14,F$6&lt;='Workstreams'!$N14),IF('Workstreams'!$R14="Accepted","Done","Plan"),""),"Inputs needed")</x:f>
      </x:c>
      <x:c r="G14" s="17" t="str">
        <x:f>IF(AND(ISNUMBER('Workstreams'!$M14),ISNUMBER('Workstreams'!$N14)),IF(AND(G$6&gt;='Workstreams'!$M14,G$6&lt;='Workstreams'!$N14),IF('Workstreams'!$R14="Accepted","Done","Plan"),""),"Inputs needed")</x:f>
      </x:c>
      <x:c r="H14" s="17" t="str">
        <x:f>IF(AND(ISNUMBER('Workstreams'!$M14),ISNUMBER('Workstreams'!$N14)),IF(AND(H$6&gt;='Workstreams'!$M14,H$6&lt;='Workstreams'!$N14),IF('Workstreams'!$R14="Accepted","Done","Plan"),""),"Inputs needed")</x:f>
      </x:c>
      <x:c r="I14" s="17" t="str">
        <x:f>IF(AND(ISNUMBER('Workstreams'!$M14),ISNUMBER('Workstreams'!$N14)),IF(AND(I$6&gt;='Workstreams'!$M14,I$6&lt;='Workstreams'!$N14),IF('Workstreams'!$R14="Accepted","Done","Plan"),""),"Inputs needed")</x:f>
      </x:c>
      <x:c r="J14" s="17" t="str">
        <x:f>IF(AND(ISNUMBER('Workstreams'!$M14),ISNUMBER('Workstreams'!$N14)),IF(AND(J$6&gt;='Workstreams'!$M14,J$6&lt;='Workstreams'!$N14),IF('Workstreams'!$R14="Accepted","Done","Plan"),""),"Inputs needed")</x:f>
      </x:c>
      <x:c r="K14" s="17" t="str">
        <x:f>IF(AND(ISNUMBER('Workstreams'!$M14),ISNUMBER('Workstreams'!$N14)),IF(AND(K$6&gt;='Workstreams'!$M14,K$6&lt;='Workstreams'!$N14),IF('Workstreams'!$R14="Accepted","Done","Plan"),""),"Inputs needed")</x:f>
      </x:c>
      <x:c r="L14" s="17" t="str">
        <x:f>IF(AND(ISNUMBER('Workstreams'!$M14),ISNUMBER('Workstreams'!$N14)),IF(AND(L$6&gt;='Workstreams'!$M14,L$6&lt;='Workstreams'!$N14),IF('Workstreams'!$R14="Accepted","Done","Plan"),""),"Inputs needed")</x:f>
        <x:v>Plan</x:v>
      </x:c>
      <x:c r="M14" s="17" t="str">
        <x:f>IF(AND(ISNUMBER('Workstreams'!$M14),ISNUMBER('Workstreams'!$N14)),IF(AND(M$6&gt;='Workstreams'!$M14,M$6&lt;='Workstreams'!$N14),IF('Workstreams'!$R14="Accepted","Done","Plan"),""),"Inputs needed")</x:f>
        <x:v>Plan</x:v>
      </x:c>
      <x:c r="N14" s="17" t="str">
        <x:f>IF(AND(ISNUMBER('Workstreams'!$M14),ISNUMBER('Workstreams'!$N14)),IF(AND(N$6&gt;='Workstreams'!$M14,N$6&lt;='Workstreams'!$N14),IF('Workstreams'!$R14="Accepted","Done","Plan"),""),"Inputs needed")</x:f>
      </x:c>
      <x:c r="O14" s="17" t="str">
        <x:f>IF(AND(ISNUMBER('Workstreams'!$M14),ISNUMBER('Workstreams'!$N14)),IF(AND(O$6&gt;='Workstreams'!$M14,O$6&lt;='Workstreams'!$N14),IF('Workstreams'!$R14="Accepted","Done","Plan"),""),"Inputs needed")</x:f>
      </x:c>
      <x:c r="P14" s="17" t="str">
        <x:f>IF(AND(ISNUMBER('Workstreams'!$M14),ISNUMBER('Workstreams'!$N14)),IF(AND(P$6&gt;='Workstreams'!$M14,P$6&lt;='Workstreams'!$N14),IF('Workstreams'!$R14="Accepted","Done","Plan"),""),"Inputs needed")</x:f>
      </x:c>
      <x:c r="Q14" s="17" t="str">
        <x:f>IF(AND(ISNUMBER('Workstreams'!$M14),ISNUMBER('Workstreams'!$N14)),IF(AND(Q$6&gt;='Workstreams'!$M14,Q$6&lt;='Workstreams'!$N14),IF('Workstreams'!$R14="Accepted","Done","Plan"),""),"Inputs needed")</x:f>
      </x:c>
      <x:c r="R14" s="17" t="str">
        <x:f>IF(AND(ISNUMBER('Workstreams'!$M14),ISNUMBER('Workstreams'!$N14)),IF(AND(R$6&gt;='Workstreams'!$M14,R$6&lt;='Workstreams'!$N14),IF('Workstreams'!$R14="Accepted","Done","Plan"),""),"Inputs needed")</x:f>
      </x:c>
      <x:c r="S14" s="17" t="str">
        <x:f>IF(AND(ISNUMBER('Workstreams'!$M14),ISNUMBER('Workstreams'!$N14)),IF(AND(S$6&gt;='Workstreams'!$M14,S$6&lt;='Workstreams'!$N14),IF('Workstreams'!$R14="Accepted","Done","Plan"),""),"Inputs needed")</x:f>
      </x:c>
      <x:c r="T14" s="17" t="str">
        <x:f>IF(AND(ISNUMBER('Workstreams'!$M14),ISNUMBER('Workstreams'!$N14)),IF(AND(T$6&gt;='Workstreams'!$M14,T$6&lt;='Workstreams'!$N14),IF('Workstreams'!$R14="Accepted","Done","Plan"),""),"Inputs needed")</x:f>
      </x:c>
      <x:c r="U14" s="17" t="str">
        <x:f>IF(AND(ISNUMBER('Workstreams'!$M14),ISNUMBER('Workstreams'!$N14)),IF(AND(U$6&gt;='Workstreams'!$M14,U$6&lt;='Workstreams'!$N14),IF('Workstreams'!$R14="Accepted","Done","Plan"),""),"Inputs needed")</x:f>
      </x:c>
      <x:c r="V14" s="17" t="str">
        <x:f>IF(AND(ISNUMBER('Workstreams'!$M14),ISNUMBER('Workstreams'!$N14)),IF(AND(V$6&gt;='Workstreams'!$M14,V$6&lt;='Workstreams'!$N14),IF('Workstreams'!$R14="Accepted","Done","Plan"),""),"Inputs needed")</x:f>
      </x:c>
      <x:c r="W14" s="17" t="str">
        <x:f>IF(AND(ISNUMBER('Workstreams'!$M14),ISNUMBER('Workstreams'!$N14)),IF(AND(W$6&gt;='Workstreams'!$M14,W$6&lt;='Workstreams'!$N14),IF('Workstreams'!$R14="Accepted","Done","Plan"),""),"Inputs needed")</x:f>
      </x:c>
      <x:c r="X14" s="17" t="str">
        <x:f>IF(AND(ISNUMBER('Workstreams'!$M14),ISNUMBER('Workstreams'!$N14)),IF(AND(X$6&gt;='Workstreams'!$M14,X$6&lt;='Workstreams'!$N14),IF('Workstreams'!$R14="Accepted","Done","Plan"),""),"Inputs needed")</x:f>
      </x:c>
      <x:c r="Y14" s="17" t="str">
        <x:f>IF(AND(ISNUMBER('Workstreams'!$M14),ISNUMBER('Workstreams'!$N14)),IF(AND(Y$6&gt;='Workstreams'!$M14,Y$6&lt;='Workstreams'!$N14),IF('Workstreams'!$R14="Accepted","Done","Plan"),""),"Inputs needed")</x:f>
      </x:c>
      <x:c r="Z14" s="17" t="str">
        <x:f>IF(AND(ISNUMBER('Workstreams'!$M14),ISNUMBER('Workstreams'!$N14)),IF(AND(Z$6&gt;='Workstreams'!$M14,Z$6&lt;='Workstreams'!$N14),IF('Workstreams'!$R14="Accepted","Done","Plan"),""),"Inputs needed")</x:f>
      </x:c>
      <x:c r="AA14" s="17" t="str">
        <x:f>IF(AND(ISNUMBER('Workstreams'!$M14),ISNUMBER('Workstreams'!$N14)),IF(AND(AA$6&gt;='Workstreams'!$M14,AA$6&lt;='Workstreams'!$N14),IF('Workstreams'!$R14="Accepted","Done","Plan"),""),"Inputs needed")</x:f>
      </x:c>
      <x:c r="AB14" s="17" t="str">
        <x:f>IF(AND(ISNUMBER('Workstreams'!$M14),ISNUMBER('Workstreams'!$N14)),IF(AND(AB$6&gt;='Workstreams'!$M14,AB$6&lt;='Workstreams'!$N14),IF('Workstreams'!$R14="Accepted","Done","Plan"),""),"Inputs needed")</x:f>
      </x:c>
      <x:c r="AC14" s="17" t="str">
        <x:f>IF(AND(ISNUMBER('Workstreams'!$M14),ISNUMBER('Workstreams'!$N14)),IF(AND(AC$6&gt;='Workstreams'!$M14,AC$6&lt;='Workstreams'!$N14),IF('Workstreams'!$R14="Accepted","Done","Plan"),""),"Inputs needed")</x:f>
      </x:c>
      <x:c r="AD14" s="17" t="str">
        <x:f>IF(AND(ISNUMBER('Workstreams'!$M14),ISNUMBER('Workstreams'!$N14)),IF(AND(AD$6&gt;='Workstreams'!$M14,AD$6&lt;='Workstreams'!$N14),IF('Workstreams'!$R14="Accepted","Done","Plan"),""),"Inputs needed")</x:f>
      </x:c>
      <x:c r="AE14" s="17" t="str">
        <x:f>IF(AND(ISNUMBER('Workstreams'!$M14),ISNUMBER('Workstreams'!$N14)),IF(AND(AE$6&gt;='Workstreams'!$M14,AE$6&lt;='Workstreams'!$N14),IF('Workstreams'!$R14="Accepted","Done","Plan"),""),"Inputs needed")</x:f>
      </x:c>
      <x:c r="AF14" s="17" t="str">
        <x:f>IF(AND(ISNUMBER('Workstreams'!$M14),ISNUMBER('Workstreams'!$N14)),IF(AND(AF$6&gt;='Workstreams'!$M14,AF$6&lt;='Workstreams'!$N14),IF('Workstreams'!$R14="Accepted","Done","Plan"),""),"Inputs needed")</x:f>
      </x:c>
      <x:c r="AG14" s="17" t="str">
        <x:f>IF(AND(ISNUMBER('Workstreams'!$M14),ISNUMBER('Workstreams'!$N14)),IF(AND(AG$6&gt;='Workstreams'!$M14,AG$6&lt;='Workstreams'!$N14),IF('Workstreams'!$R14="Accepted","Done","Plan"),""),"Inputs needed")</x:f>
      </x:c>
      <x:c r="AH14" s="17" t="str">
        <x:f>IF(AND(ISNUMBER('Workstreams'!$M14),ISNUMBER('Workstreams'!$N14)),IF(AND(AH$6&gt;='Workstreams'!$M14,AH$6&lt;='Workstreams'!$N14),IF('Workstreams'!$R14="Accepted","Done","Plan"),""),"Inputs needed")</x:f>
      </x:c>
      <x:c r="AI14" s="17" t="str">
        <x:f>IF(AND(ISNUMBER('Workstreams'!$M14),ISNUMBER('Workstreams'!$N14)),IF(AND(AI$6&gt;='Workstreams'!$M14,AI$6&lt;='Workstreams'!$N14),IF('Workstreams'!$R14="Accepted","Done","Plan"),""),"Inputs needed")</x:f>
      </x:c>
      <x:c r="AJ14" s="17" t="str">
        <x:f>IF(AND(ISNUMBER('Workstreams'!$M14),ISNUMBER('Workstreams'!$N14)),IF(AND(AJ$6&gt;='Workstreams'!$M14,AJ$6&lt;='Workstreams'!$N14),IF('Workstreams'!$R14="Accepted","Done","Plan"),""),"Inputs needed")</x:f>
      </x:c>
      <x:c r="AK14" s="17" t="str">
        <x:f>IF(AND(ISNUMBER('Workstreams'!$M14),ISNUMBER('Workstreams'!$N14)),IF(AND(AK$6&gt;='Workstreams'!$M14,AK$6&lt;='Workstreams'!$N14),IF('Workstreams'!$R14="Accepted","Done","Plan"),""),"Inputs needed")</x:f>
      </x:c>
      <x:c r="AL14" s="17" t="str">
        <x:f>IF(AND(ISNUMBER('Workstreams'!$M14),ISNUMBER('Workstreams'!$N14)),IF(AND(AL$6&gt;='Workstreams'!$M14,AL$6&lt;='Workstreams'!$N14),IF('Workstreams'!$R14="Accepted","Done","Plan"),""),"Inputs needed")</x:f>
      </x:c>
      <x:c r="AM14" s="17" t="str">
        <x:f>IF(AND(ISNUMBER('Workstreams'!$M14),ISNUMBER('Workstreams'!$N14)),IF(AND(AM$6&gt;='Workstreams'!$M14,AM$6&lt;='Workstreams'!$N14),IF('Workstreams'!$R14="Accepted","Done","Plan"),""),"Inputs needed")</x:f>
      </x:c>
      <x:c r="AN14" s="17" t="str">
        <x:f>IF(AND(ISNUMBER('Workstreams'!$M14),ISNUMBER('Workstreams'!$N14)),IF(AND(AN$6&gt;='Workstreams'!$M14,AN$6&lt;='Workstreams'!$N14),IF('Workstreams'!$R14="Accepted","Done","Plan"),""),"Inputs needed")</x:f>
      </x:c>
      <x:c r="AO14" s="17" t="str">
        <x:f>IF(AND(ISNUMBER('Workstreams'!$M14),ISNUMBER('Workstreams'!$N14)),IF(AND(AO$6&gt;='Workstreams'!$M14,AO$6&lt;='Workstreams'!$N14),IF('Workstreams'!$R14="Accepted","Done","Plan"),""),"Inputs needed")</x:f>
      </x:c>
      <x:c r="AP14" s="17" t="str">
        <x:f>IF(AND(ISNUMBER('Workstreams'!$M14),ISNUMBER('Workstreams'!$N14)),IF(AND(AP$6&gt;='Workstreams'!$M14,AP$6&lt;='Workstreams'!$N14),IF('Workstreams'!$R14="Accepted","Done","Plan"),""),"Inputs needed")</x:f>
      </x:c>
      <x:c r="AQ14" s="17" t="str">
        <x:f>IF(AND(ISNUMBER('Workstreams'!$M14),ISNUMBER('Workstreams'!$N14)),IF(AND(AQ$6&gt;='Workstreams'!$M14,AQ$6&lt;='Workstreams'!$N14),IF('Workstreams'!$R14="Accepted","Done","Plan"),""),"Inputs needed")</x:f>
      </x:c>
      <x:c r="AR14" s="17" t="str">
        <x:f>IF(AND(ISNUMBER('Workstreams'!$M14),ISNUMBER('Workstreams'!$N14)),IF(AND(AR$6&gt;='Workstreams'!$M14,AR$6&lt;='Workstreams'!$N14),IF('Workstreams'!$R14="Accepted","Done","Plan"),""),"Inputs needed")</x:f>
      </x:c>
      <x:c r="AS14" s="17" t="str">
        <x:f>IF(AND(ISNUMBER('Workstreams'!$M14),ISNUMBER('Workstreams'!$N14)),IF(AND(AS$6&gt;='Workstreams'!$M14,AS$6&lt;='Workstreams'!$N14),IF('Workstreams'!$R14="Accepted","Done","Plan"),""),"Inputs needed")</x:f>
      </x:c>
      <x:c r="AT14" s="17" t="str">
        <x:f>IF(AND(ISNUMBER('Workstreams'!$M14),ISNUMBER('Workstreams'!$N14)),IF(AND(AT$6&gt;='Workstreams'!$M14,AT$6&lt;='Workstreams'!$N14),IF('Workstreams'!$R14="Accepted","Done","Plan"),""),"Inputs needed")</x:f>
      </x:c>
      <x:c r="AU14" s="17" t="str">
        <x:f>IF(AND(ISNUMBER('Workstreams'!$M14),ISNUMBER('Workstreams'!$N14)),IF(AND(AU$6&gt;='Workstreams'!$M14,AU$6&lt;='Workstreams'!$N14),IF('Workstreams'!$R14="Accepted","Done","Plan"),""),"Inputs needed")</x:f>
      </x:c>
      <x:c r="AV14" s="17" t="str">
        <x:f>IF(AND(ISNUMBER('Workstreams'!$M14),ISNUMBER('Workstreams'!$N14)),IF(AND(AV$6&gt;='Workstreams'!$M14,AV$6&lt;='Workstreams'!$N14),IF('Workstreams'!$R14="Accepted","Done","Plan"),""),"Inputs needed")</x:f>
      </x:c>
      <x:c r="AW14" s="17" t="str">
        <x:f>IF(AND(ISNUMBER('Workstreams'!$M14),ISNUMBER('Workstreams'!$N14)),IF(AND(AW$6&gt;='Workstreams'!$M14,AW$6&lt;='Workstreams'!$N14),IF('Workstreams'!$R14="Accepted","Done","Plan"),""),"Inputs needed")</x:f>
      </x:c>
      <x:c r="AX14" s="17" t="str">
        <x:f>IF(AND(ISNUMBER('Workstreams'!$M14),ISNUMBER('Workstreams'!$N14)),IF(AND(AX$6&gt;='Workstreams'!$M14,AX$6&lt;='Workstreams'!$N14),IF('Workstreams'!$R14="Accepted","Done","Plan"),""),"Inputs needed")</x:f>
      </x:c>
      <x:c r="AY14" s="17" t="str">
        <x:f>IF(AND(ISNUMBER('Workstreams'!$M14),ISNUMBER('Workstreams'!$N14)),IF(AND(AY$6&gt;='Workstreams'!$M14,AY$6&lt;='Workstreams'!$N14),IF('Workstreams'!$R14="Accepted","Done","Plan"),""),"Inputs needed")</x:f>
      </x:c>
      <x:c r="AZ14" s="17" t="str">
        <x:f>IF(AND(ISNUMBER('Workstreams'!$M14),ISNUMBER('Workstreams'!$N14)),IF(AND(AZ$6&gt;='Workstreams'!$M14,AZ$6&lt;='Workstreams'!$N14),IF('Workstreams'!$R14="Accepted","Done","Plan"),""),"Inputs needed")</x:f>
      </x:c>
      <x:c r="BA14" s="17" t="str">
        <x:f>IF(AND(ISNUMBER('Workstreams'!$M14),ISNUMBER('Workstreams'!$N14)),IF(AND(BA$6&gt;='Workstreams'!$M14,BA$6&lt;='Workstreams'!$N14),IF('Workstreams'!$R14="Accepted","Done","Plan"),""),"Inputs needed")</x:f>
      </x:c>
      <x:c r="BB14" s="17" t="str">
        <x:f>IF(AND(ISNUMBER('Workstreams'!$M14),ISNUMBER('Workstreams'!$N14)),IF(AND(BB$6&gt;='Workstreams'!$M14,BB$6&lt;='Workstreams'!$N14),IF('Workstreams'!$R14="Accepted","Done","Plan"),""),"Inputs needed")</x:f>
      </x:c>
      <x:c r="BC14" s="17" t="str">
        <x:f>IF(AND(ISNUMBER('Workstreams'!$M14),ISNUMBER('Workstreams'!$N14)),IF(AND(BC$6&gt;='Workstreams'!$M14,BC$6&lt;='Workstreams'!$N14),IF('Workstreams'!$R14="Accepted","Done","Plan"),""),"Inputs needed")</x:f>
      </x:c>
      <x:c r="BD14" s="17" t="str">
        <x:f>IF(AND(ISNUMBER('Workstreams'!$M14),ISNUMBER('Workstreams'!$N14)),IF(AND(BD$6&gt;='Workstreams'!$M14,BD$6&lt;='Workstreams'!$N14),IF('Workstreams'!$R14="Accepted","Done","Plan"),""),"Inputs needed")</x:f>
      </x:c>
    </x:row>
    <x:row r="15" ht="48" customHeight="1">
      <x:c r="A15" s="8" t="str">
        <x:f>'Workstreams'!A15</x:f>
        <x:v>W09</x:v>
      </x:c>
      <x:c r="B15" s="8" t="str">
        <x:f>'Workstreams'!B15</x:f>
        <x:v>Canonical financial reports, aging and export parity</x:v>
      </x:c>
      <x:c r="C15" s="8" t="str">
        <x:f>'Workstreams'!D15</x:f>
        <x:v>Replit + Codex</x:v>
      </x:c>
      <x:c r="D15" s="8" t="str">
        <x:f>'Workstreams'!R15</x:f>
        <x:v>Awaiting approval</x:v>
      </x:c>
      <x:c r="E15" s="17" t="str">
        <x:f>IF(AND(ISNUMBER('Workstreams'!$M15),ISNUMBER('Workstreams'!$N15)),IF(AND(E$6&gt;='Workstreams'!$M15,E$6&lt;='Workstreams'!$N15),IF('Workstreams'!$R15="Accepted","Done","Plan"),""),"Inputs needed")</x:f>
      </x:c>
      <x:c r="F15" s="17" t="str">
        <x:f>IF(AND(ISNUMBER('Workstreams'!$M15),ISNUMBER('Workstreams'!$N15)),IF(AND(F$6&gt;='Workstreams'!$M15,F$6&lt;='Workstreams'!$N15),IF('Workstreams'!$R15="Accepted","Done","Plan"),""),"Inputs needed")</x:f>
      </x:c>
      <x:c r="G15" s="17" t="str">
        <x:f>IF(AND(ISNUMBER('Workstreams'!$M15),ISNUMBER('Workstreams'!$N15)),IF(AND(G$6&gt;='Workstreams'!$M15,G$6&lt;='Workstreams'!$N15),IF('Workstreams'!$R15="Accepted","Done","Plan"),""),"Inputs needed")</x:f>
      </x:c>
      <x:c r="H15" s="17" t="str">
        <x:f>IF(AND(ISNUMBER('Workstreams'!$M15),ISNUMBER('Workstreams'!$N15)),IF(AND(H$6&gt;='Workstreams'!$M15,H$6&lt;='Workstreams'!$N15),IF('Workstreams'!$R15="Accepted","Done","Plan"),""),"Inputs needed")</x:f>
      </x:c>
      <x:c r="I15" s="17" t="str">
        <x:f>IF(AND(ISNUMBER('Workstreams'!$M15),ISNUMBER('Workstreams'!$N15)),IF(AND(I$6&gt;='Workstreams'!$M15,I$6&lt;='Workstreams'!$N15),IF('Workstreams'!$R15="Accepted","Done","Plan"),""),"Inputs needed")</x:f>
      </x:c>
      <x:c r="J15" s="17" t="str">
        <x:f>IF(AND(ISNUMBER('Workstreams'!$M15),ISNUMBER('Workstreams'!$N15)),IF(AND(J$6&gt;='Workstreams'!$M15,J$6&lt;='Workstreams'!$N15),IF('Workstreams'!$R15="Accepted","Done","Plan"),""),"Inputs needed")</x:f>
      </x:c>
      <x:c r="K15" s="17" t="str">
        <x:f>IF(AND(ISNUMBER('Workstreams'!$M15),ISNUMBER('Workstreams'!$N15)),IF(AND(K$6&gt;='Workstreams'!$M15,K$6&lt;='Workstreams'!$N15),IF('Workstreams'!$R15="Accepted","Done","Plan"),""),"Inputs needed")</x:f>
      </x:c>
      <x:c r="L15" s="17" t="str">
        <x:f>IF(AND(ISNUMBER('Workstreams'!$M15),ISNUMBER('Workstreams'!$N15)),IF(AND(L$6&gt;='Workstreams'!$M15,L$6&lt;='Workstreams'!$N15),IF('Workstreams'!$R15="Accepted","Done","Plan"),""),"Inputs needed")</x:f>
      </x:c>
      <x:c r="M15" s="17" t="str">
        <x:f>IF(AND(ISNUMBER('Workstreams'!$M15),ISNUMBER('Workstreams'!$N15)),IF(AND(M$6&gt;='Workstreams'!$M15,M$6&lt;='Workstreams'!$N15),IF('Workstreams'!$R15="Accepted","Done","Plan"),""),"Inputs needed")</x:f>
        <x:v>Plan</x:v>
      </x:c>
      <x:c r="N15" s="17" t="str">
        <x:f>IF(AND(ISNUMBER('Workstreams'!$M15),ISNUMBER('Workstreams'!$N15)),IF(AND(N$6&gt;='Workstreams'!$M15,N$6&lt;='Workstreams'!$N15),IF('Workstreams'!$R15="Accepted","Done","Plan"),""),"Inputs needed")</x:f>
        <x:v>Plan</x:v>
      </x:c>
      <x:c r="O15" s="17" t="str">
        <x:f>IF(AND(ISNUMBER('Workstreams'!$M15),ISNUMBER('Workstreams'!$N15)),IF(AND(O$6&gt;='Workstreams'!$M15,O$6&lt;='Workstreams'!$N15),IF('Workstreams'!$R15="Accepted","Done","Plan"),""),"Inputs needed")</x:f>
      </x:c>
      <x:c r="P15" s="17" t="str">
        <x:f>IF(AND(ISNUMBER('Workstreams'!$M15),ISNUMBER('Workstreams'!$N15)),IF(AND(P$6&gt;='Workstreams'!$M15,P$6&lt;='Workstreams'!$N15),IF('Workstreams'!$R15="Accepted","Done","Plan"),""),"Inputs needed")</x:f>
      </x:c>
      <x:c r="Q15" s="17" t="str">
        <x:f>IF(AND(ISNUMBER('Workstreams'!$M15),ISNUMBER('Workstreams'!$N15)),IF(AND(Q$6&gt;='Workstreams'!$M15,Q$6&lt;='Workstreams'!$N15),IF('Workstreams'!$R15="Accepted","Done","Plan"),""),"Inputs needed")</x:f>
      </x:c>
      <x:c r="R15" s="17" t="str">
        <x:f>IF(AND(ISNUMBER('Workstreams'!$M15),ISNUMBER('Workstreams'!$N15)),IF(AND(R$6&gt;='Workstreams'!$M15,R$6&lt;='Workstreams'!$N15),IF('Workstreams'!$R15="Accepted","Done","Plan"),""),"Inputs needed")</x:f>
      </x:c>
      <x:c r="S15" s="17" t="str">
        <x:f>IF(AND(ISNUMBER('Workstreams'!$M15),ISNUMBER('Workstreams'!$N15)),IF(AND(S$6&gt;='Workstreams'!$M15,S$6&lt;='Workstreams'!$N15),IF('Workstreams'!$R15="Accepted","Done","Plan"),""),"Inputs needed")</x:f>
      </x:c>
      <x:c r="T15" s="17" t="str">
        <x:f>IF(AND(ISNUMBER('Workstreams'!$M15),ISNUMBER('Workstreams'!$N15)),IF(AND(T$6&gt;='Workstreams'!$M15,T$6&lt;='Workstreams'!$N15),IF('Workstreams'!$R15="Accepted","Done","Plan"),""),"Inputs needed")</x:f>
      </x:c>
      <x:c r="U15" s="17" t="str">
        <x:f>IF(AND(ISNUMBER('Workstreams'!$M15),ISNUMBER('Workstreams'!$N15)),IF(AND(U$6&gt;='Workstreams'!$M15,U$6&lt;='Workstreams'!$N15),IF('Workstreams'!$R15="Accepted","Done","Plan"),""),"Inputs needed")</x:f>
      </x:c>
      <x:c r="V15" s="17" t="str">
        <x:f>IF(AND(ISNUMBER('Workstreams'!$M15),ISNUMBER('Workstreams'!$N15)),IF(AND(V$6&gt;='Workstreams'!$M15,V$6&lt;='Workstreams'!$N15),IF('Workstreams'!$R15="Accepted","Done","Plan"),""),"Inputs needed")</x:f>
      </x:c>
      <x:c r="W15" s="17" t="str">
        <x:f>IF(AND(ISNUMBER('Workstreams'!$M15),ISNUMBER('Workstreams'!$N15)),IF(AND(W$6&gt;='Workstreams'!$M15,W$6&lt;='Workstreams'!$N15),IF('Workstreams'!$R15="Accepted","Done","Plan"),""),"Inputs needed")</x:f>
      </x:c>
      <x:c r="X15" s="17" t="str">
        <x:f>IF(AND(ISNUMBER('Workstreams'!$M15),ISNUMBER('Workstreams'!$N15)),IF(AND(X$6&gt;='Workstreams'!$M15,X$6&lt;='Workstreams'!$N15),IF('Workstreams'!$R15="Accepted","Done","Plan"),""),"Inputs needed")</x:f>
      </x:c>
      <x:c r="Y15" s="17" t="str">
        <x:f>IF(AND(ISNUMBER('Workstreams'!$M15),ISNUMBER('Workstreams'!$N15)),IF(AND(Y$6&gt;='Workstreams'!$M15,Y$6&lt;='Workstreams'!$N15),IF('Workstreams'!$R15="Accepted","Done","Plan"),""),"Inputs needed")</x:f>
      </x:c>
      <x:c r="Z15" s="17" t="str">
        <x:f>IF(AND(ISNUMBER('Workstreams'!$M15),ISNUMBER('Workstreams'!$N15)),IF(AND(Z$6&gt;='Workstreams'!$M15,Z$6&lt;='Workstreams'!$N15),IF('Workstreams'!$R15="Accepted","Done","Plan"),""),"Inputs needed")</x:f>
      </x:c>
      <x:c r="AA15" s="17" t="str">
        <x:f>IF(AND(ISNUMBER('Workstreams'!$M15),ISNUMBER('Workstreams'!$N15)),IF(AND(AA$6&gt;='Workstreams'!$M15,AA$6&lt;='Workstreams'!$N15),IF('Workstreams'!$R15="Accepted","Done","Plan"),""),"Inputs needed")</x:f>
      </x:c>
      <x:c r="AB15" s="17" t="str">
        <x:f>IF(AND(ISNUMBER('Workstreams'!$M15),ISNUMBER('Workstreams'!$N15)),IF(AND(AB$6&gt;='Workstreams'!$M15,AB$6&lt;='Workstreams'!$N15),IF('Workstreams'!$R15="Accepted","Done","Plan"),""),"Inputs needed")</x:f>
      </x:c>
      <x:c r="AC15" s="17" t="str">
        <x:f>IF(AND(ISNUMBER('Workstreams'!$M15),ISNUMBER('Workstreams'!$N15)),IF(AND(AC$6&gt;='Workstreams'!$M15,AC$6&lt;='Workstreams'!$N15),IF('Workstreams'!$R15="Accepted","Done","Plan"),""),"Inputs needed")</x:f>
      </x:c>
      <x:c r="AD15" s="17" t="str">
        <x:f>IF(AND(ISNUMBER('Workstreams'!$M15),ISNUMBER('Workstreams'!$N15)),IF(AND(AD$6&gt;='Workstreams'!$M15,AD$6&lt;='Workstreams'!$N15),IF('Workstreams'!$R15="Accepted","Done","Plan"),""),"Inputs needed")</x:f>
      </x:c>
      <x:c r="AE15" s="17" t="str">
        <x:f>IF(AND(ISNUMBER('Workstreams'!$M15),ISNUMBER('Workstreams'!$N15)),IF(AND(AE$6&gt;='Workstreams'!$M15,AE$6&lt;='Workstreams'!$N15),IF('Workstreams'!$R15="Accepted","Done","Plan"),""),"Inputs needed")</x:f>
      </x:c>
      <x:c r="AF15" s="17" t="str">
        <x:f>IF(AND(ISNUMBER('Workstreams'!$M15),ISNUMBER('Workstreams'!$N15)),IF(AND(AF$6&gt;='Workstreams'!$M15,AF$6&lt;='Workstreams'!$N15),IF('Workstreams'!$R15="Accepted","Done","Plan"),""),"Inputs needed")</x:f>
      </x:c>
      <x:c r="AG15" s="17" t="str">
        <x:f>IF(AND(ISNUMBER('Workstreams'!$M15),ISNUMBER('Workstreams'!$N15)),IF(AND(AG$6&gt;='Workstreams'!$M15,AG$6&lt;='Workstreams'!$N15),IF('Workstreams'!$R15="Accepted","Done","Plan"),""),"Inputs needed")</x:f>
      </x:c>
      <x:c r="AH15" s="17" t="str">
        <x:f>IF(AND(ISNUMBER('Workstreams'!$M15),ISNUMBER('Workstreams'!$N15)),IF(AND(AH$6&gt;='Workstreams'!$M15,AH$6&lt;='Workstreams'!$N15),IF('Workstreams'!$R15="Accepted","Done","Plan"),""),"Inputs needed")</x:f>
      </x:c>
      <x:c r="AI15" s="17" t="str">
        <x:f>IF(AND(ISNUMBER('Workstreams'!$M15),ISNUMBER('Workstreams'!$N15)),IF(AND(AI$6&gt;='Workstreams'!$M15,AI$6&lt;='Workstreams'!$N15),IF('Workstreams'!$R15="Accepted","Done","Plan"),""),"Inputs needed")</x:f>
      </x:c>
      <x:c r="AJ15" s="17" t="str">
        <x:f>IF(AND(ISNUMBER('Workstreams'!$M15),ISNUMBER('Workstreams'!$N15)),IF(AND(AJ$6&gt;='Workstreams'!$M15,AJ$6&lt;='Workstreams'!$N15),IF('Workstreams'!$R15="Accepted","Done","Plan"),""),"Inputs needed")</x:f>
      </x:c>
      <x:c r="AK15" s="17" t="str">
        <x:f>IF(AND(ISNUMBER('Workstreams'!$M15),ISNUMBER('Workstreams'!$N15)),IF(AND(AK$6&gt;='Workstreams'!$M15,AK$6&lt;='Workstreams'!$N15),IF('Workstreams'!$R15="Accepted","Done","Plan"),""),"Inputs needed")</x:f>
      </x:c>
      <x:c r="AL15" s="17" t="str">
        <x:f>IF(AND(ISNUMBER('Workstreams'!$M15),ISNUMBER('Workstreams'!$N15)),IF(AND(AL$6&gt;='Workstreams'!$M15,AL$6&lt;='Workstreams'!$N15),IF('Workstreams'!$R15="Accepted","Done","Plan"),""),"Inputs needed")</x:f>
      </x:c>
      <x:c r="AM15" s="17" t="str">
        <x:f>IF(AND(ISNUMBER('Workstreams'!$M15),ISNUMBER('Workstreams'!$N15)),IF(AND(AM$6&gt;='Workstreams'!$M15,AM$6&lt;='Workstreams'!$N15),IF('Workstreams'!$R15="Accepted","Done","Plan"),""),"Inputs needed")</x:f>
      </x:c>
      <x:c r="AN15" s="17" t="str">
        <x:f>IF(AND(ISNUMBER('Workstreams'!$M15),ISNUMBER('Workstreams'!$N15)),IF(AND(AN$6&gt;='Workstreams'!$M15,AN$6&lt;='Workstreams'!$N15),IF('Workstreams'!$R15="Accepted","Done","Plan"),""),"Inputs needed")</x:f>
      </x:c>
      <x:c r="AO15" s="17" t="str">
        <x:f>IF(AND(ISNUMBER('Workstreams'!$M15),ISNUMBER('Workstreams'!$N15)),IF(AND(AO$6&gt;='Workstreams'!$M15,AO$6&lt;='Workstreams'!$N15),IF('Workstreams'!$R15="Accepted","Done","Plan"),""),"Inputs needed")</x:f>
      </x:c>
      <x:c r="AP15" s="17" t="str">
        <x:f>IF(AND(ISNUMBER('Workstreams'!$M15),ISNUMBER('Workstreams'!$N15)),IF(AND(AP$6&gt;='Workstreams'!$M15,AP$6&lt;='Workstreams'!$N15),IF('Workstreams'!$R15="Accepted","Done","Plan"),""),"Inputs needed")</x:f>
      </x:c>
      <x:c r="AQ15" s="17" t="str">
        <x:f>IF(AND(ISNUMBER('Workstreams'!$M15),ISNUMBER('Workstreams'!$N15)),IF(AND(AQ$6&gt;='Workstreams'!$M15,AQ$6&lt;='Workstreams'!$N15),IF('Workstreams'!$R15="Accepted","Done","Plan"),""),"Inputs needed")</x:f>
      </x:c>
      <x:c r="AR15" s="17" t="str">
        <x:f>IF(AND(ISNUMBER('Workstreams'!$M15),ISNUMBER('Workstreams'!$N15)),IF(AND(AR$6&gt;='Workstreams'!$M15,AR$6&lt;='Workstreams'!$N15),IF('Workstreams'!$R15="Accepted","Done","Plan"),""),"Inputs needed")</x:f>
      </x:c>
      <x:c r="AS15" s="17" t="str">
        <x:f>IF(AND(ISNUMBER('Workstreams'!$M15),ISNUMBER('Workstreams'!$N15)),IF(AND(AS$6&gt;='Workstreams'!$M15,AS$6&lt;='Workstreams'!$N15),IF('Workstreams'!$R15="Accepted","Done","Plan"),""),"Inputs needed")</x:f>
      </x:c>
      <x:c r="AT15" s="17" t="str">
        <x:f>IF(AND(ISNUMBER('Workstreams'!$M15),ISNUMBER('Workstreams'!$N15)),IF(AND(AT$6&gt;='Workstreams'!$M15,AT$6&lt;='Workstreams'!$N15),IF('Workstreams'!$R15="Accepted","Done","Plan"),""),"Inputs needed")</x:f>
      </x:c>
      <x:c r="AU15" s="17" t="str">
        <x:f>IF(AND(ISNUMBER('Workstreams'!$M15),ISNUMBER('Workstreams'!$N15)),IF(AND(AU$6&gt;='Workstreams'!$M15,AU$6&lt;='Workstreams'!$N15),IF('Workstreams'!$R15="Accepted","Done","Plan"),""),"Inputs needed")</x:f>
      </x:c>
      <x:c r="AV15" s="17" t="str">
        <x:f>IF(AND(ISNUMBER('Workstreams'!$M15),ISNUMBER('Workstreams'!$N15)),IF(AND(AV$6&gt;='Workstreams'!$M15,AV$6&lt;='Workstreams'!$N15),IF('Workstreams'!$R15="Accepted","Done","Plan"),""),"Inputs needed")</x:f>
      </x:c>
      <x:c r="AW15" s="17" t="str">
        <x:f>IF(AND(ISNUMBER('Workstreams'!$M15),ISNUMBER('Workstreams'!$N15)),IF(AND(AW$6&gt;='Workstreams'!$M15,AW$6&lt;='Workstreams'!$N15),IF('Workstreams'!$R15="Accepted","Done","Plan"),""),"Inputs needed")</x:f>
      </x:c>
      <x:c r="AX15" s="17" t="str">
        <x:f>IF(AND(ISNUMBER('Workstreams'!$M15),ISNUMBER('Workstreams'!$N15)),IF(AND(AX$6&gt;='Workstreams'!$M15,AX$6&lt;='Workstreams'!$N15),IF('Workstreams'!$R15="Accepted","Done","Plan"),""),"Inputs needed")</x:f>
      </x:c>
      <x:c r="AY15" s="17" t="str">
        <x:f>IF(AND(ISNUMBER('Workstreams'!$M15),ISNUMBER('Workstreams'!$N15)),IF(AND(AY$6&gt;='Workstreams'!$M15,AY$6&lt;='Workstreams'!$N15),IF('Workstreams'!$R15="Accepted","Done","Plan"),""),"Inputs needed")</x:f>
      </x:c>
      <x:c r="AZ15" s="17" t="str">
        <x:f>IF(AND(ISNUMBER('Workstreams'!$M15),ISNUMBER('Workstreams'!$N15)),IF(AND(AZ$6&gt;='Workstreams'!$M15,AZ$6&lt;='Workstreams'!$N15),IF('Workstreams'!$R15="Accepted","Done","Plan"),""),"Inputs needed")</x:f>
      </x:c>
      <x:c r="BA15" s="17" t="str">
        <x:f>IF(AND(ISNUMBER('Workstreams'!$M15),ISNUMBER('Workstreams'!$N15)),IF(AND(BA$6&gt;='Workstreams'!$M15,BA$6&lt;='Workstreams'!$N15),IF('Workstreams'!$R15="Accepted","Done","Plan"),""),"Inputs needed")</x:f>
      </x:c>
      <x:c r="BB15" s="17" t="str">
        <x:f>IF(AND(ISNUMBER('Workstreams'!$M15),ISNUMBER('Workstreams'!$N15)),IF(AND(BB$6&gt;='Workstreams'!$M15,BB$6&lt;='Workstreams'!$N15),IF('Workstreams'!$R15="Accepted","Done","Plan"),""),"Inputs needed")</x:f>
      </x:c>
      <x:c r="BC15" s="17" t="str">
        <x:f>IF(AND(ISNUMBER('Workstreams'!$M15),ISNUMBER('Workstreams'!$N15)),IF(AND(BC$6&gt;='Workstreams'!$M15,BC$6&lt;='Workstreams'!$N15),IF('Workstreams'!$R15="Accepted","Done","Plan"),""),"Inputs needed")</x:f>
      </x:c>
      <x:c r="BD15" s="17" t="str">
        <x:f>IF(AND(ISNUMBER('Workstreams'!$M15),ISNUMBER('Workstreams'!$N15)),IF(AND(BD$6&gt;='Workstreams'!$M15,BD$6&lt;='Workstreams'!$N15),IF('Workstreams'!$R15="Accepted","Done","Plan"),""),"Inputs needed")</x:f>
      </x:c>
    </x:row>
    <x:row r="16" ht="48" customHeight="1">
      <x:c r="A16" s="8" t="str">
        <x:f>'Workstreams'!A16</x:f>
        <x:v>W10</x:v>
      </x:c>
      <x:c r="B16" s="8" t="str">
        <x:f>'Workstreams'!B16</x:f>
        <x:v>Durable documents and issued invoice copies</x:v>
      </x:c>
      <x:c r="C16" s="8" t="str">
        <x:f>'Workstreams'!D16</x:f>
        <x:v>Replit + Codex</x:v>
      </x:c>
      <x:c r="D16" s="8" t="str">
        <x:f>'Workstreams'!R16</x:f>
        <x:v>Awaiting approval</x:v>
      </x:c>
      <x:c r="E16" s="17" t="str">
        <x:f>IF(AND(ISNUMBER('Workstreams'!$M16),ISNUMBER('Workstreams'!$N16)),IF(AND(E$6&gt;='Workstreams'!$M16,E$6&lt;='Workstreams'!$N16),IF('Workstreams'!$R16="Accepted","Done","Plan"),""),"Inputs needed")</x:f>
      </x:c>
      <x:c r="F16" s="17" t="str">
        <x:f>IF(AND(ISNUMBER('Workstreams'!$M16),ISNUMBER('Workstreams'!$N16)),IF(AND(F$6&gt;='Workstreams'!$M16,F$6&lt;='Workstreams'!$N16),IF('Workstreams'!$R16="Accepted","Done","Plan"),""),"Inputs needed")</x:f>
      </x:c>
      <x:c r="G16" s="17" t="str">
        <x:f>IF(AND(ISNUMBER('Workstreams'!$M16),ISNUMBER('Workstreams'!$N16)),IF(AND(G$6&gt;='Workstreams'!$M16,G$6&lt;='Workstreams'!$N16),IF('Workstreams'!$R16="Accepted","Done","Plan"),""),"Inputs needed")</x:f>
      </x:c>
      <x:c r="H16" s="17" t="str">
        <x:f>IF(AND(ISNUMBER('Workstreams'!$M16),ISNUMBER('Workstreams'!$N16)),IF(AND(H$6&gt;='Workstreams'!$M16,H$6&lt;='Workstreams'!$N16),IF('Workstreams'!$R16="Accepted","Done","Plan"),""),"Inputs needed")</x:f>
      </x:c>
      <x:c r="I16" s="17" t="str">
        <x:f>IF(AND(ISNUMBER('Workstreams'!$M16),ISNUMBER('Workstreams'!$N16)),IF(AND(I$6&gt;='Workstreams'!$M16,I$6&lt;='Workstreams'!$N16),IF('Workstreams'!$R16="Accepted","Done","Plan"),""),"Inputs needed")</x:f>
      </x:c>
      <x:c r="J16" s="17" t="str">
        <x:f>IF(AND(ISNUMBER('Workstreams'!$M16),ISNUMBER('Workstreams'!$N16)),IF(AND(J$6&gt;='Workstreams'!$M16,J$6&lt;='Workstreams'!$N16),IF('Workstreams'!$R16="Accepted","Done","Plan"),""),"Inputs needed")</x:f>
      </x:c>
      <x:c r="K16" s="17" t="str">
        <x:f>IF(AND(ISNUMBER('Workstreams'!$M16),ISNUMBER('Workstreams'!$N16)),IF(AND(K$6&gt;='Workstreams'!$M16,K$6&lt;='Workstreams'!$N16),IF('Workstreams'!$R16="Accepted","Done","Plan"),""),"Inputs needed")</x:f>
      </x:c>
      <x:c r="L16" s="17" t="str">
        <x:f>IF(AND(ISNUMBER('Workstreams'!$M16),ISNUMBER('Workstreams'!$N16)),IF(AND(L$6&gt;='Workstreams'!$M16,L$6&lt;='Workstreams'!$N16),IF('Workstreams'!$R16="Accepted","Done","Plan"),""),"Inputs needed")</x:f>
      </x:c>
      <x:c r="M16" s="17" t="str">
        <x:f>IF(AND(ISNUMBER('Workstreams'!$M16),ISNUMBER('Workstreams'!$N16)),IF(AND(M$6&gt;='Workstreams'!$M16,M$6&lt;='Workstreams'!$N16),IF('Workstreams'!$R16="Accepted","Done","Plan"),""),"Inputs needed")</x:f>
      </x:c>
      <x:c r="N16" s="17" t="str">
        <x:f>IF(AND(ISNUMBER('Workstreams'!$M16),ISNUMBER('Workstreams'!$N16)),IF(AND(N$6&gt;='Workstreams'!$M16,N$6&lt;='Workstreams'!$N16),IF('Workstreams'!$R16="Accepted","Done","Plan"),""),"Inputs needed")</x:f>
        <x:v>Plan</x:v>
      </x:c>
      <x:c r="O16" s="17" t="str">
        <x:f>IF(AND(ISNUMBER('Workstreams'!$M16),ISNUMBER('Workstreams'!$N16)),IF(AND(O$6&gt;='Workstreams'!$M16,O$6&lt;='Workstreams'!$N16),IF('Workstreams'!$R16="Accepted","Done","Plan"),""),"Inputs needed")</x:f>
        <x:v>Plan</x:v>
      </x:c>
      <x:c r="P16" s="17" t="str">
        <x:f>IF(AND(ISNUMBER('Workstreams'!$M16),ISNUMBER('Workstreams'!$N16)),IF(AND(P$6&gt;='Workstreams'!$M16,P$6&lt;='Workstreams'!$N16),IF('Workstreams'!$R16="Accepted","Done","Plan"),""),"Inputs needed")</x:f>
      </x:c>
      <x:c r="Q16" s="17" t="str">
        <x:f>IF(AND(ISNUMBER('Workstreams'!$M16),ISNUMBER('Workstreams'!$N16)),IF(AND(Q$6&gt;='Workstreams'!$M16,Q$6&lt;='Workstreams'!$N16),IF('Workstreams'!$R16="Accepted","Done","Plan"),""),"Inputs needed")</x:f>
      </x:c>
      <x:c r="R16" s="17" t="str">
        <x:f>IF(AND(ISNUMBER('Workstreams'!$M16),ISNUMBER('Workstreams'!$N16)),IF(AND(R$6&gt;='Workstreams'!$M16,R$6&lt;='Workstreams'!$N16),IF('Workstreams'!$R16="Accepted","Done","Plan"),""),"Inputs needed")</x:f>
      </x:c>
      <x:c r="S16" s="17" t="str">
        <x:f>IF(AND(ISNUMBER('Workstreams'!$M16),ISNUMBER('Workstreams'!$N16)),IF(AND(S$6&gt;='Workstreams'!$M16,S$6&lt;='Workstreams'!$N16),IF('Workstreams'!$R16="Accepted","Done","Plan"),""),"Inputs needed")</x:f>
      </x:c>
      <x:c r="T16" s="17" t="str">
        <x:f>IF(AND(ISNUMBER('Workstreams'!$M16),ISNUMBER('Workstreams'!$N16)),IF(AND(T$6&gt;='Workstreams'!$M16,T$6&lt;='Workstreams'!$N16),IF('Workstreams'!$R16="Accepted","Done","Plan"),""),"Inputs needed")</x:f>
      </x:c>
      <x:c r="U16" s="17" t="str">
        <x:f>IF(AND(ISNUMBER('Workstreams'!$M16),ISNUMBER('Workstreams'!$N16)),IF(AND(U$6&gt;='Workstreams'!$M16,U$6&lt;='Workstreams'!$N16),IF('Workstreams'!$R16="Accepted","Done","Plan"),""),"Inputs needed")</x:f>
      </x:c>
      <x:c r="V16" s="17" t="str">
        <x:f>IF(AND(ISNUMBER('Workstreams'!$M16),ISNUMBER('Workstreams'!$N16)),IF(AND(V$6&gt;='Workstreams'!$M16,V$6&lt;='Workstreams'!$N16),IF('Workstreams'!$R16="Accepted","Done","Plan"),""),"Inputs needed")</x:f>
      </x:c>
      <x:c r="W16" s="17" t="str">
        <x:f>IF(AND(ISNUMBER('Workstreams'!$M16),ISNUMBER('Workstreams'!$N16)),IF(AND(W$6&gt;='Workstreams'!$M16,W$6&lt;='Workstreams'!$N16),IF('Workstreams'!$R16="Accepted","Done","Plan"),""),"Inputs needed")</x:f>
      </x:c>
      <x:c r="X16" s="17" t="str">
        <x:f>IF(AND(ISNUMBER('Workstreams'!$M16),ISNUMBER('Workstreams'!$N16)),IF(AND(X$6&gt;='Workstreams'!$M16,X$6&lt;='Workstreams'!$N16),IF('Workstreams'!$R16="Accepted","Done","Plan"),""),"Inputs needed")</x:f>
      </x:c>
      <x:c r="Y16" s="17" t="str">
        <x:f>IF(AND(ISNUMBER('Workstreams'!$M16),ISNUMBER('Workstreams'!$N16)),IF(AND(Y$6&gt;='Workstreams'!$M16,Y$6&lt;='Workstreams'!$N16),IF('Workstreams'!$R16="Accepted","Done","Plan"),""),"Inputs needed")</x:f>
      </x:c>
      <x:c r="Z16" s="17" t="str">
        <x:f>IF(AND(ISNUMBER('Workstreams'!$M16),ISNUMBER('Workstreams'!$N16)),IF(AND(Z$6&gt;='Workstreams'!$M16,Z$6&lt;='Workstreams'!$N16),IF('Workstreams'!$R16="Accepted","Done","Plan"),""),"Inputs needed")</x:f>
      </x:c>
      <x:c r="AA16" s="17" t="str">
        <x:f>IF(AND(ISNUMBER('Workstreams'!$M16),ISNUMBER('Workstreams'!$N16)),IF(AND(AA$6&gt;='Workstreams'!$M16,AA$6&lt;='Workstreams'!$N16),IF('Workstreams'!$R16="Accepted","Done","Plan"),""),"Inputs needed")</x:f>
      </x:c>
      <x:c r="AB16" s="17" t="str">
        <x:f>IF(AND(ISNUMBER('Workstreams'!$M16),ISNUMBER('Workstreams'!$N16)),IF(AND(AB$6&gt;='Workstreams'!$M16,AB$6&lt;='Workstreams'!$N16),IF('Workstreams'!$R16="Accepted","Done","Plan"),""),"Inputs needed")</x:f>
      </x:c>
      <x:c r="AC16" s="17" t="str">
        <x:f>IF(AND(ISNUMBER('Workstreams'!$M16),ISNUMBER('Workstreams'!$N16)),IF(AND(AC$6&gt;='Workstreams'!$M16,AC$6&lt;='Workstreams'!$N16),IF('Workstreams'!$R16="Accepted","Done","Plan"),""),"Inputs needed")</x:f>
      </x:c>
      <x:c r="AD16" s="17" t="str">
        <x:f>IF(AND(ISNUMBER('Workstreams'!$M16),ISNUMBER('Workstreams'!$N16)),IF(AND(AD$6&gt;='Workstreams'!$M16,AD$6&lt;='Workstreams'!$N16),IF('Workstreams'!$R16="Accepted","Done","Plan"),""),"Inputs needed")</x:f>
      </x:c>
      <x:c r="AE16" s="17" t="str">
        <x:f>IF(AND(ISNUMBER('Workstreams'!$M16),ISNUMBER('Workstreams'!$N16)),IF(AND(AE$6&gt;='Workstreams'!$M16,AE$6&lt;='Workstreams'!$N16),IF('Workstreams'!$R16="Accepted","Done","Plan"),""),"Inputs needed")</x:f>
      </x:c>
      <x:c r="AF16" s="17" t="str">
        <x:f>IF(AND(ISNUMBER('Workstreams'!$M16),ISNUMBER('Workstreams'!$N16)),IF(AND(AF$6&gt;='Workstreams'!$M16,AF$6&lt;='Workstreams'!$N16),IF('Workstreams'!$R16="Accepted","Done","Plan"),""),"Inputs needed")</x:f>
      </x:c>
      <x:c r="AG16" s="17" t="str">
        <x:f>IF(AND(ISNUMBER('Workstreams'!$M16),ISNUMBER('Workstreams'!$N16)),IF(AND(AG$6&gt;='Workstreams'!$M16,AG$6&lt;='Workstreams'!$N16),IF('Workstreams'!$R16="Accepted","Done","Plan"),""),"Inputs needed")</x:f>
      </x:c>
      <x:c r="AH16" s="17" t="str">
        <x:f>IF(AND(ISNUMBER('Workstreams'!$M16),ISNUMBER('Workstreams'!$N16)),IF(AND(AH$6&gt;='Workstreams'!$M16,AH$6&lt;='Workstreams'!$N16),IF('Workstreams'!$R16="Accepted","Done","Plan"),""),"Inputs needed")</x:f>
      </x:c>
      <x:c r="AI16" s="17" t="str">
        <x:f>IF(AND(ISNUMBER('Workstreams'!$M16),ISNUMBER('Workstreams'!$N16)),IF(AND(AI$6&gt;='Workstreams'!$M16,AI$6&lt;='Workstreams'!$N16),IF('Workstreams'!$R16="Accepted","Done","Plan"),""),"Inputs needed")</x:f>
      </x:c>
      <x:c r="AJ16" s="17" t="str">
        <x:f>IF(AND(ISNUMBER('Workstreams'!$M16),ISNUMBER('Workstreams'!$N16)),IF(AND(AJ$6&gt;='Workstreams'!$M16,AJ$6&lt;='Workstreams'!$N16),IF('Workstreams'!$R16="Accepted","Done","Plan"),""),"Inputs needed")</x:f>
      </x:c>
      <x:c r="AK16" s="17" t="str">
        <x:f>IF(AND(ISNUMBER('Workstreams'!$M16),ISNUMBER('Workstreams'!$N16)),IF(AND(AK$6&gt;='Workstreams'!$M16,AK$6&lt;='Workstreams'!$N16),IF('Workstreams'!$R16="Accepted","Done","Plan"),""),"Inputs needed")</x:f>
      </x:c>
      <x:c r="AL16" s="17" t="str">
        <x:f>IF(AND(ISNUMBER('Workstreams'!$M16),ISNUMBER('Workstreams'!$N16)),IF(AND(AL$6&gt;='Workstreams'!$M16,AL$6&lt;='Workstreams'!$N16),IF('Workstreams'!$R16="Accepted","Done","Plan"),""),"Inputs needed")</x:f>
      </x:c>
      <x:c r="AM16" s="17" t="str">
        <x:f>IF(AND(ISNUMBER('Workstreams'!$M16),ISNUMBER('Workstreams'!$N16)),IF(AND(AM$6&gt;='Workstreams'!$M16,AM$6&lt;='Workstreams'!$N16),IF('Workstreams'!$R16="Accepted","Done","Plan"),""),"Inputs needed")</x:f>
      </x:c>
      <x:c r="AN16" s="17" t="str">
        <x:f>IF(AND(ISNUMBER('Workstreams'!$M16),ISNUMBER('Workstreams'!$N16)),IF(AND(AN$6&gt;='Workstreams'!$M16,AN$6&lt;='Workstreams'!$N16),IF('Workstreams'!$R16="Accepted","Done","Plan"),""),"Inputs needed")</x:f>
      </x:c>
      <x:c r="AO16" s="17" t="str">
        <x:f>IF(AND(ISNUMBER('Workstreams'!$M16),ISNUMBER('Workstreams'!$N16)),IF(AND(AO$6&gt;='Workstreams'!$M16,AO$6&lt;='Workstreams'!$N16),IF('Workstreams'!$R16="Accepted","Done","Plan"),""),"Inputs needed")</x:f>
      </x:c>
      <x:c r="AP16" s="17" t="str">
        <x:f>IF(AND(ISNUMBER('Workstreams'!$M16),ISNUMBER('Workstreams'!$N16)),IF(AND(AP$6&gt;='Workstreams'!$M16,AP$6&lt;='Workstreams'!$N16),IF('Workstreams'!$R16="Accepted","Done","Plan"),""),"Inputs needed")</x:f>
      </x:c>
      <x:c r="AQ16" s="17" t="str">
        <x:f>IF(AND(ISNUMBER('Workstreams'!$M16),ISNUMBER('Workstreams'!$N16)),IF(AND(AQ$6&gt;='Workstreams'!$M16,AQ$6&lt;='Workstreams'!$N16),IF('Workstreams'!$R16="Accepted","Done","Plan"),""),"Inputs needed")</x:f>
      </x:c>
      <x:c r="AR16" s="17" t="str">
        <x:f>IF(AND(ISNUMBER('Workstreams'!$M16),ISNUMBER('Workstreams'!$N16)),IF(AND(AR$6&gt;='Workstreams'!$M16,AR$6&lt;='Workstreams'!$N16),IF('Workstreams'!$R16="Accepted","Done","Plan"),""),"Inputs needed")</x:f>
      </x:c>
      <x:c r="AS16" s="17" t="str">
        <x:f>IF(AND(ISNUMBER('Workstreams'!$M16),ISNUMBER('Workstreams'!$N16)),IF(AND(AS$6&gt;='Workstreams'!$M16,AS$6&lt;='Workstreams'!$N16),IF('Workstreams'!$R16="Accepted","Done","Plan"),""),"Inputs needed")</x:f>
      </x:c>
      <x:c r="AT16" s="17" t="str">
        <x:f>IF(AND(ISNUMBER('Workstreams'!$M16),ISNUMBER('Workstreams'!$N16)),IF(AND(AT$6&gt;='Workstreams'!$M16,AT$6&lt;='Workstreams'!$N16),IF('Workstreams'!$R16="Accepted","Done","Plan"),""),"Inputs needed")</x:f>
      </x:c>
      <x:c r="AU16" s="17" t="str">
        <x:f>IF(AND(ISNUMBER('Workstreams'!$M16),ISNUMBER('Workstreams'!$N16)),IF(AND(AU$6&gt;='Workstreams'!$M16,AU$6&lt;='Workstreams'!$N16),IF('Workstreams'!$R16="Accepted","Done","Plan"),""),"Inputs needed")</x:f>
      </x:c>
      <x:c r="AV16" s="17" t="str">
        <x:f>IF(AND(ISNUMBER('Workstreams'!$M16),ISNUMBER('Workstreams'!$N16)),IF(AND(AV$6&gt;='Workstreams'!$M16,AV$6&lt;='Workstreams'!$N16),IF('Workstreams'!$R16="Accepted","Done","Plan"),""),"Inputs needed")</x:f>
      </x:c>
      <x:c r="AW16" s="17" t="str">
        <x:f>IF(AND(ISNUMBER('Workstreams'!$M16),ISNUMBER('Workstreams'!$N16)),IF(AND(AW$6&gt;='Workstreams'!$M16,AW$6&lt;='Workstreams'!$N16),IF('Workstreams'!$R16="Accepted","Done","Plan"),""),"Inputs needed")</x:f>
      </x:c>
      <x:c r="AX16" s="17" t="str">
        <x:f>IF(AND(ISNUMBER('Workstreams'!$M16),ISNUMBER('Workstreams'!$N16)),IF(AND(AX$6&gt;='Workstreams'!$M16,AX$6&lt;='Workstreams'!$N16),IF('Workstreams'!$R16="Accepted","Done","Plan"),""),"Inputs needed")</x:f>
      </x:c>
      <x:c r="AY16" s="17" t="str">
        <x:f>IF(AND(ISNUMBER('Workstreams'!$M16),ISNUMBER('Workstreams'!$N16)),IF(AND(AY$6&gt;='Workstreams'!$M16,AY$6&lt;='Workstreams'!$N16),IF('Workstreams'!$R16="Accepted","Done","Plan"),""),"Inputs needed")</x:f>
      </x:c>
      <x:c r="AZ16" s="17" t="str">
        <x:f>IF(AND(ISNUMBER('Workstreams'!$M16),ISNUMBER('Workstreams'!$N16)),IF(AND(AZ$6&gt;='Workstreams'!$M16,AZ$6&lt;='Workstreams'!$N16),IF('Workstreams'!$R16="Accepted","Done","Plan"),""),"Inputs needed")</x:f>
      </x:c>
      <x:c r="BA16" s="17" t="str">
        <x:f>IF(AND(ISNUMBER('Workstreams'!$M16),ISNUMBER('Workstreams'!$N16)),IF(AND(BA$6&gt;='Workstreams'!$M16,BA$6&lt;='Workstreams'!$N16),IF('Workstreams'!$R16="Accepted","Done","Plan"),""),"Inputs needed")</x:f>
      </x:c>
      <x:c r="BB16" s="17" t="str">
        <x:f>IF(AND(ISNUMBER('Workstreams'!$M16),ISNUMBER('Workstreams'!$N16)),IF(AND(BB$6&gt;='Workstreams'!$M16,BB$6&lt;='Workstreams'!$N16),IF('Workstreams'!$R16="Accepted","Done","Plan"),""),"Inputs needed")</x:f>
      </x:c>
      <x:c r="BC16" s="17" t="str">
        <x:f>IF(AND(ISNUMBER('Workstreams'!$M16),ISNUMBER('Workstreams'!$N16)),IF(AND(BC$6&gt;='Workstreams'!$M16,BC$6&lt;='Workstreams'!$N16),IF('Workstreams'!$R16="Accepted","Done","Plan"),""),"Inputs needed")</x:f>
      </x:c>
      <x:c r="BD16" s="17" t="str">
        <x:f>IF(AND(ISNUMBER('Workstreams'!$M16),ISNUMBER('Workstreams'!$N16)),IF(AND(BD$6&gt;='Workstreams'!$M16,BD$6&lt;='Workstreams'!$N16),IF('Workstreams'!$R16="Accepted","Done","Plan"),""),"Inputs needed")</x:f>
      </x:c>
    </x:row>
    <x:row r="17" ht="48" customHeight="1">
      <x:c r="A17" s="8" t="str">
        <x:f>'Workstreams'!A17</x:f>
        <x:v>W11</x:v>
      </x:c>
      <x:c r="B17" s="8" t="str">
        <x:f>'Workstreams'!B17</x:f>
        <x:v>Onboarding, Ask, core workspaces and recovery UX</x:v>
      </x:c>
      <x:c r="C17" s="8" t="str">
        <x:f>'Workstreams'!D17</x:f>
        <x:v>Replit + Codex</x:v>
      </x:c>
      <x:c r="D17" s="8" t="str">
        <x:f>'Workstreams'!R17</x:f>
        <x:v>Awaiting approval</x:v>
      </x:c>
      <x:c r="E17" s="17" t="str">
        <x:f>IF(AND(ISNUMBER('Workstreams'!$M17),ISNUMBER('Workstreams'!$N17)),IF(AND(E$6&gt;='Workstreams'!$M17,E$6&lt;='Workstreams'!$N17),IF('Workstreams'!$R17="Accepted","Done","Plan"),""),"Inputs needed")</x:f>
      </x:c>
      <x:c r="F17" s="17" t="str">
        <x:f>IF(AND(ISNUMBER('Workstreams'!$M17),ISNUMBER('Workstreams'!$N17)),IF(AND(F$6&gt;='Workstreams'!$M17,F$6&lt;='Workstreams'!$N17),IF('Workstreams'!$R17="Accepted","Done","Plan"),""),"Inputs needed")</x:f>
      </x:c>
      <x:c r="G17" s="17" t="str">
        <x:f>IF(AND(ISNUMBER('Workstreams'!$M17),ISNUMBER('Workstreams'!$N17)),IF(AND(G$6&gt;='Workstreams'!$M17,G$6&lt;='Workstreams'!$N17),IF('Workstreams'!$R17="Accepted","Done","Plan"),""),"Inputs needed")</x:f>
      </x:c>
      <x:c r="H17" s="17" t="str">
        <x:f>IF(AND(ISNUMBER('Workstreams'!$M17),ISNUMBER('Workstreams'!$N17)),IF(AND(H$6&gt;='Workstreams'!$M17,H$6&lt;='Workstreams'!$N17),IF('Workstreams'!$R17="Accepted","Done","Plan"),""),"Inputs needed")</x:f>
      </x:c>
      <x:c r="I17" s="17" t="str">
        <x:f>IF(AND(ISNUMBER('Workstreams'!$M17),ISNUMBER('Workstreams'!$N17)),IF(AND(I$6&gt;='Workstreams'!$M17,I$6&lt;='Workstreams'!$N17),IF('Workstreams'!$R17="Accepted","Done","Plan"),""),"Inputs needed")</x:f>
      </x:c>
      <x:c r="J17" s="17" t="str">
        <x:f>IF(AND(ISNUMBER('Workstreams'!$M17),ISNUMBER('Workstreams'!$N17)),IF(AND(J$6&gt;='Workstreams'!$M17,J$6&lt;='Workstreams'!$N17),IF('Workstreams'!$R17="Accepted","Done","Plan"),""),"Inputs needed")</x:f>
      </x:c>
      <x:c r="K17" s="17" t="str">
        <x:f>IF(AND(ISNUMBER('Workstreams'!$M17),ISNUMBER('Workstreams'!$N17)),IF(AND(K$6&gt;='Workstreams'!$M17,K$6&lt;='Workstreams'!$N17),IF('Workstreams'!$R17="Accepted","Done","Plan"),""),"Inputs needed")</x:f>
      </x:c>
      <x:c r="L17" s="17" t="str">
        <x:f>IF(AND(ISNUMBER('Workstreams'!$M17),ISNUMBER('Workstreams'!$N17)),IF(AND(L$6&gt;='Workstreams'!$M17,L$6&lt;='Workstreams'!$N17),IF('Workstreams'!$R17="Accepted","Done","Plan"),""),"Inputs needed")</x:f>
      </x:c>
      <x:c r="M17" s="17" t="str">
        <x:f>IF(AND(ISNUMBER('Workstreams'!$M17),ISNUMBER('Workstreams'!$N17)),IF(AND(M$6&gt;='Workstreams'!$M17,M$6&lt;='Workstreams'!$N17),IF('Workstreams'!$R17="Accepted","Done","Plan"),""),"Inputs needed")</x:f>
      </x:c>
      <x:c r="N17" s="17" t="str">
        <x:f>IF(AND(ISNUMBER('Workstreams'!$M17),ISNUMBER('Workstreams'!$N17)),IF(AND(N$6&gt;='Workstreams'!$M17,N$6&lt;='Workstreams'!$N17),IF('Workstreams'!$R17="Accepted","Done","Plan"),""),"Inputs needed")</x:f>
      </x:c>
      <x:c r="O17" s="17" t="str">
        <x:f>IF(AND(ISNUMBER('Workstreams'!$M17),ISNUMBER('Workstreams'!$N17)),IF(AND(O$6&gt;='Workstreams'!$M17,O$6&lt;='Workstreams'!$N17),IF('Workstreams'!$R17="Accepted","Done","Plan"),""),"Inputs needed")</x:f>
        <x:v>Plan</x:v>
      </x:c>
      <x:c r="P17" s="17" t="str">
        <x:f>IF(AND(ISNUMBER('Workstreams'!$M17),ISNUMBER('Workstreams'!$N17)),IF(AND(P$6&gt;='Workstreams'!$M17,P$6&lt;='Workstreams'!$N17),IF('Workstreams'!$R17="Accepted","Done","Plan"),""),"Inputs needed")</x:f>
        <x:v>Plan</x:v>
      </x:c>
      <x:c r="Q17" s="17" t="str">
        <x:f>IF(AND(ISNUMBER('Workstreams'!$M17),ISNUMBER('Workstreams'!$N17)),IF(AND(Q$6&gt;='Workstreams'!$M17,Q$6&lt;='Workstreams'!$N17),IF('Workstreams'!$R17="Accepted","Done","Plan"),""),"Inputs needed")</x:f>
      </x:c>
      <x:c r="R17" s="17" t="str">
        <x:f>IF(AND(ISNUMBER('Workstreams'!$M17),ISNUMBER('Workstreams'!$N17)),IF(AND(R$6&gt;='Workstreams'!$M17,R$6&lt;='Workstreams'!$N17),IF('Workstreams'!$R17="Accepted","Done","Plan"),""),"Inputs needed")</x:f>
      </x:c>
      <x:c r="S17" s="17" t="str">
        <x:f>IF(AND(ISNUMBER('Workstreams'!$M17),ISNUMBER('Workstreams'!$N17)),IF(AND(S$6&gt;='Workstreams'!$M17,S$6&lt;='Workstreams'!$N17),IF('Workstreams'!$R17="Accepted","Done","Plan"),""),"Inputs needed")</x:f>
      </x:c>
      <x:c r="T17" s="17" t="str">
        <x:f>IF(AND(ISNUMBER('Workstreams'!$M17),ISNUMBER('Workstreams'!$N17)),IF(AND(T$6&gt;='Workstreams'!$M17,T$6&lt;='Workstreams'!$N17),IF('Workstreams'!$R17="Accepted","Done","Plan"),""),"Inputs needed")</x:f>
      </x:c>
      <x:c r="U17" s="17" t="str">
        <x:f>IF(AND(ISNUMBER('Workstreams'!$M17),ISNUMBER('Workstreams'!$N17)),IF(AND(U$6&gt;='Workstreams'!$M17,U$6&lt;='Workstreams'!$N17),IF('Workstreams'!$R17="Accepted","Done","Plan"),""),"Inputs needed")</x:f>
      </x:c>
      <x:c r="V17" s="17" t="str">
        <x:f>IF(AND(ISNUMBER('Workstreams'!$M17),ISNUMBER('Workstreams'!$N17)),IF(AND(V$6&gt;='Workstreams'!$M17,V$6&lt;='Workstreams'!$N17),IF('Workstreams'!$R17="Accepted","Done","Plan"),""),"Inputs needed")</x:f>
      </x:c>
      <x:c r="W17" s="17" t="str">
        <x:f>IF(AND(ISNUMBER('Workstreams'!$M17),ISNUMBER('Workstreams'!$N17)),IF(AND(W$6&gt;='Workstreams'!$M17,W$6&lt;='Workstreams'!$N17),IF('Workstreams'!$R17="Accepted","Done","Plan"),""),"Inputs needed")</x:f>
      </x:c>
      <x:c r="X17" s="17" t="str">
        <x:f>IF(AND(ISNUMBER('Workstreams'!$M17),ISNUMBER('Workstreams'!$N17)),IF(AND(X$6&gt;='Workstreams'!$M17,X$6&lt;='Workstreams'!$N17),IF('Workstreams'!$R17="Accepted","Done","Plan"),""),"Inputs needed")</x:f>
      </x:c>
      <x:c r="Y17" s="17" t="str">
        <x:f>IF(AND(ISNUMBER('Workstreams'!$M17),ISNUMBER('Workstreams'!$N17)),IF(AND(Y$6&gt;='Workstreams'!$M17,Y$6&lt;='Workstreams'!$N17),IF('Workstreams'!$R17="Accepted","Done","Plan"),""),"Inputs needed")</x:f>
      </x:c>
      <x:c r="Z17" s="17" t="str">
        <x:f>IF(AND(ISNUMBER('Workstreams'!$M17),ISNUMBER('Workstreams'!$N17)),IF(AND(Z$6&gt;='Workstreams'!$M17,Z$6&lt;='Workstreams'!$N17),IF('Workstreams'!$R17="Accepted","Done","Plan"),""),"Inputs needed")</x:f>
      </x:c>
      <x:c r="AA17" s="17" t="str">
        <x:f>IF(AND(ISNUMBER('Workstreams'!$M17),ISNUMBER('Workstreams'!$N17)),IF(AND(AA$6&gt;='Workstreams'!$M17,AA$6&lt;='Workstreams'!$N17),IF('Workstreams'!$R17="Accepted","Done","Plan"),""),"Inputs needed")</x:f>
      </x:c>
      <x:c r="AB17" s="17" t="str">
        <x:f>IF(AND(ISNUMBER('Workstreams'!$M17),ISNUMBER('Workstreams'!$N17)),IF(AND(AB$6&gt;='Workstreams'!$M17,AB$6&lt;='Workstreams'!$N17),IF('Workstreams'!$R17="Accepted","Done","Plan"),""),"Inputs needed")</x:f>
      </x:c>
      <x:c r="AC17" s="17" t="str">
        <x:f>IF(AND(ISNUMBER('Workstreams'!$M17),ISNUMBER('Workstreams'!$N17)),IF(AND(AC$6&gt;='Workstreams'!$M17,AC$6&lt;='Workstreams'!$N17),IF('Workstreams'!$R17="Accepted","Done","Plan"),""),"Inputs needed")</x:f>
      </x:c>
      <x:c r="AD17" s="17" t="str">
        <x:f>IF(AND(ISNUMBER('Workstreams'!$M17),ISNUMBER('Workstreams'!$N17)),IF(AND(AD$6&gt;='Workstreams'!$M17,AD$6&lt;='Workstreams'!$N17),IF('Workstreams'!$R17="Accepted","Done","Plan"),""),"Inputs needed")</x:f>
      </x:c>
      <x:c r="AE17" s="17" t="str">
        <x:f>IF(AND(ISNUMBER('Workstreams'!$M17),ISNUMBER('Workstreams'!$N17)),IF(AND(AE$6&gt;='Workstreams'!$M17,AE$6&lt;='Workstreams'!$N17),IF('Workstreams'!$R17="Accepted","Done","Plan"),""),"Inputs needed")</x:f>
      </x:c>
      <x:c r="AF17" s="17" t="str">
        <x:f>IF(AND(ISNUMBER('Workstreams'!$M17),ISNUMBER('Workstreams'!$N17)),IF(AND(AF$6&gt;='Workstreams'!$M17,AF$6&lt;='Workstreams'!$N17),IF('Workstreams'!$R17="Accepted","Done","Plan"),""),"Inputs needed")</x:f>
      </x:c>
      <x:c r="AG17" s="17" t="str">
        <x:f>IF(AND(ISNUMBER('Workstreams'!$M17),ISNUMBER('Workstreams'!$N17)),IF(AND(AG$6&gt;='Workstreams'!$M17,AG$6&lt;='Workstreams'!$N17),IF('Workstreams'!$R17="Accepted","Done","Plan"),""),"Inputs needed")</x:f>
      </x:c>
      <x:c r="AH17" s="17" t="str">
        <x:f>IF(AND(ISNUMBER('Workstreams'!$M17),ISNUMBER('Workstreams'!$N17)),IF(AND(AH$6&gt;='Workstreams'!$M17,AH$6&lt;='Workstreams'!$N17),IF('Workstreams'!$R17="Accepted","Done","Plan"),""),"Inputs needed")</x:f>
      </x:c>
      <x:c r="AI17" s="17" t="str">
        <x:f>IF(AND(ISNUMBER('Workstreams'!$M17),ISNUMBER('Workstreams'!$N17)),IF(AND(AI$6&gt;='Workstreams'!$M17,AI$6&lt;='Workstreams'!$N17),IF('Workstreams'!$R17="Accepted","Done","Plan"),""),"Inputs needed")</x:f>
      </x:c>
      <x:c r="AJ17" s="17" t="str">
        <x:f>IF(AND(ISNUMBER('Workstreams'!$M17),ISNUMBER('Workstreams'!$N17)),IF(AND(AJ$6&gt;='Workstreams'!$M17,AJ$6&lt;='Workstreams'!$N17),IF('Workstreams'!$R17="Accepted","Done","Plan"),""),"Inputs needed")</x:f>
      </x:c>
      <x:c r="AK17" s="17" t="str">
        <x:f>IF(AND(ISNUMBER('Workstreams'!$M17),ISNUMBER('Workstreams'!$N17)),IF(AND(AK$6&gt;='Workstreams'!$M17,AK$6&lt;='Workstreams'!$N17),IF('Workstreams'!$R17="Accepted","Done","Plan"),""),"Inputs needed")</x:f>
      </x:c>
      <x:c r="AL17" s="17" t="str">
        <x:f>IF(AND(ISNUMBER('Workstreams'!$M17),ISNUMBER('Workstreams'!$N17)),IF(AND(AL$6&gt;='Workstreams'!$M17,AL$6&lt;='Workstreams'!$N17),IF('Workstreams'!$R17="Accepted","Done","Plan"),""),"Inputs needed")</x:f>
      </x:c>
      <x:c r="AM17" s="17" t="str">
        <x:f>IF(AND(ISNUMBER('Workstreams'!$M17),ISNUMBER('Workstreams'!$N17)),IF(AND(AM$6&gt;='Workstreams'!$M17,AM$6&lt;='Workstreams'!$N17),IF('Workstreams'!$R17="Accepted","Done","Plan"),""),"Inputs needed")</x:f>
      </x:c>
      <x:c r="AN17" s="17" t="str">
        <x:f>IF(AND(ISNUMBER('Workstreams'!$M17),ISNUMBER('Workstreams'!$N17)),IF(AND(AN$6&gt;='Workstreams'!$M17,AN$6&lt;='Workstreams'!$N17),IF('Workstreams'!$R17="Accepted","Done","Plan"),""),"Inputs needed")</x:f>
      </x:c>
      <x:c r="AO17" s="17" t="str">
        <x:f>IF(AND(ISNUMBER('Workstreams'!$M17),ISNUMBER('Workstreams'!$N17)),IF(AND(AO$6&gt;='Workstreams'!$M17,AO$6&lt;='Workstreams'!$N17),IF('Workstreams'!$R17="Accepted","Done","Plan"),""),"Inputs needed")</x:f>
      </x:c>
      <x:c r="AP17" s="17" t="str">
        <x:f>IF(AND(ISNUMBER('Workstreams'!$M17),ISNUMBER('Workstreams'!$N17)),IF(AND(AP$6&gt;='Workstreams'!$M17,AP$6&lt;='Workstreams'!$N17),IF('Workstreams'!$R17="Accepted","Done","Plan"),""),"Inputs needed")</x:f>
      </x:c>
      <x:c r="AQ17" s="17" t="str">
        <x:f>IF(AND(ISNUMBER('Workstreams'!$M17),ISNUMBER('Workstreams'!$N17)),IF(AND(AQ$6&gt;='Workstreams'!$M17,AQ$6&lt;='Workstreams'!$N17),IF('Workstreams'!$R17="Accepted","Done","Plan"),""),"Inputs needed")</x:f>
      </x:c>
      <x:c r="AR17" s="17" t="str">
        <x:f>IF(AND(ISNUMBER('Workstreams'!$M17),ISNUMBER('Workstreams'!$N17)),IF(AND(AR$6&gt;='Workstreams'!$M17,AR$6&lt;='Workstreams'!$N17),IF('Workstreams'!$R17="Accepted","Done","Plan"),""),"Inputs needed")</x:f>
      </x:c>
      <x:c r="AS17" s="17" t="str">
        <x:f>IF(AND(ISNUMBER('Workstreams'!$M17),ISNUMBER('Workstreams'!$N17)),IF(AND(AS$6&gt;='Workstreams'!$M17,AS$6&lt;='Workstreams'!$N17),IF('Workstreams'!$R17="Accepted","Done","Plan"),""),"Inputs needed")</x:f>
      </x:c>
      <x:c r="AT17" s="17" t="str">
        <x:f>IF(AND(ISNUMBER('Workstreams'!$M17),ISNUMBER('Workstreams'!$N17)),IF(AND(AT$6&gt;='Workstreams'!$M17,AT$6&lt;='Workstreams'!$N17),IF('Workstreams'!$R17="Accepted","Done","Plan"),""),"Inputs needed")</x:f>
      </x:c>
      <x:c r="AU17" s="17" t="str">
        <x:f>IF(AND(ISNUMBER('Workstreams'!$M17),ISNUMBER('Workstreams'!$N17)),IF(AND(AU$6&gt;='Workstreams'!$M17,AU$6&lt;='Workstreams'!$N17),IF('Workstreams'!$R17="Accepted","Done","Plan"),""),"Inputs needed")</x:f>
      </x:c>
      <x:c r="AV17" s="17" t="str">
        <x:f>IF(AND(ISNUMBER('Workstreams'!$M17),ISNUMBER('Workstreams'!$N17)),IF(AND(AV$6&gt;='Workstreams'!$M17,AV$6&lt;='Workstreams'!$N17),IF('Workstreams'!$R17="Accepted","Done","Plan"),""),"Inputs needed")</x:f>
      </x:c>
      <x:c r="AW17" s="17" t="str">
        <x:f>IF(AND(ISNUMBER('Workstreams'!$M17),ISNUMBER('Workstreams'!$N17)),IF(AND(AW$6&gt;='Workstreams'!$M17,AW$6&lt;='Workstreams'!$N17),IF('Workstreams'!$R17="Accepted","Done","Plan"),""),"Inputs needed")</x:f>
      </x:c>
      <x:c r="AX17" s="17" t="str">
        <x:f>IF(AND(ISNUMBER('Workstreams'!$M17),ISNUMBER('Workstreams'!$N17)),IF(AND(AX$6&gt;='Workstreams'!$M17,AX$6&lt;='Workstreams'!$N17),IF('Workstreams'!$R17="Accepted","Done","Plan"),""),"Inputs needed")</x:f>
      </x:c>
      <x:c r="AY17" s="17" t="str">
        <x:f>IF(AND(ISNUMBER('Workstreams'!$M17),ISNUMBER('Workstreams'!$N17)),IF(AND(AY$6&gt;='Workstreams'!$M17,AY$6&lt;='Workstreams'!$N17),IF('Workstreams'!$R17="Accepted","Done","Plan"),""),"Inputs needed")</x:f>
      </x:c>
      <x:c r="AZ17" s="17" t="str">
        <x:f>IF(AND(ISNUMBER('Workstreams'!$M17),ISNUMBER('Workstreams'!$N17)),IF(AND(AZ$6&gt;='Workstreams'!$M17,AZ$6&lt;='Workstreams'!$N17),IF('Workstreams'!$R17="Accepted","Done","Plan"),""),"Inputs needed")</x:f>
      </x:c>
      <x:c r="BA17" s="17" t="str">
        <x:f>IF(AND(ISNUMBER('Workstreams'!$M17),ISNUMBER('Workstreams'!$N17)),IF(AND(BA$6&gt;='Workstreams'!$M17,BA$6&lt;='Workstreams'!$N17),IF('Workstreams'!$R17="Accepted","Done","Plan"),""),"Inputs needed")</x:f>
      </x:c>
      <x:c r="BB17" s="17" t="str">
        <x:f>IF(AND(ISNUMBER('Workstreams'!$M17),ISNUMBER('Workstreams'!$N17)),IF(AND(BB$6&gt;='Workstreams'!$M17,BB$6&lt;='Workstreams'!$N17),IF('Workstreams'!$R17="Accepted","Done","Plan"),""),"Inputs needed")</x:f>
      </x:c>
      <x:c r="BC17" s="17" t="str">
        <x:f>IF(AND(ISNUMBER('Workstreams'!$M17),ISNUMBER('Workstreams'!$N17)),IF(AND(BC$6&gt;='Workstreams'!$M17,BC$6&lt;='Workstreams'!$N17),IF('Workstreams'!$R17="Accepted","Done","Plan"),""),"Inputs needed")</x:f>
      </x:c>
      <x:c r="BD17" s="17" t="str">
        <x:f>IF(AND(ISNUMBER('Workstreams'!$M17),ISNUMBER('Workstreams'!$N17)),IF(AND(BD$6&gt;='Workstreams'!$M17,BD$6&lt;='Workstreams'!$N17),IF('Workstreams'!$R17="Accepted","Done","Plan"),""),"Inputs needed")</x:f>
      </x:c>
    </x:row>
    <x:row r="18" ht="48" customHeight="1">
      <x:c r="A18" s="8" t="str">
        <x:f>'Workstreams'!A18</x:f>
        <x:v>W12</x:v>
      </x:c>
      <x:c r="B18" s="8" t="str">
        <x:f>'Workstreams'!B18</x:f>
        <x:v>Pilot cohort, opening balances and data boundary</x:v>
      </x:c>
      <x:c r="C18" s="8" t="str">
        <x:f>'Workstreams'!D18</x:f>
        <x:v>Replit + Codex</x:v>
      </x:c>
      <x:c r="D18" s="8" t="str">
        <x:f>'Workstreams'!R18</x:f>
        <x:v>Awaiting approval</x:v>
      </x:c>
      <x:c r="E18" s="17" t="str">
        <x:f>IF(AND(ISNUMBER('Workstreams'!$M18),ISNUMBER('Workstreams'!$N18)),IF(AND(E$6&gt;='Workstreams'!$M18,E$6&lt;='Workstreams'!$N18),IF('Workstreams'!$R18="Accepted","Done","Plan"),""),"Inputs needed")</x:f>
      </x:c>
      <x:c r="F18" s="17" t="str">
        <x:f>IF(AND(ISNUMBER('Workstreams'!$M18),ISNUMBER('Workstreams'!$N18)),IF(AND(F$6&gt;='Workstreams'!$M18,F$6&lt;='Workstreams'!$N18),IF('Workstreams'!$R18="Accepted","Done","Plan"),""),"Inputs needed")</x:f>
      </x:c>
      <x:c r="G18" s="17" t="str">
        <x:f>IF(AND(ISNUMBER('Workstreams'!$M18),ISNUMBER('Workstreams'!$N18)),IF(AND(G$6&gt;='Workstreams'!$M18,G$6&lt;='Workstreams'!$N18),IF('Workstreams'!$R18="Accepted","Done","Plan"),""),"Inputs needed")</x:f>
      </x:c>
      <x:c r="H18" s="17" t="str">
        <x:f>IF(AND(ISNUMBER('Workstreams'!$M18),ISNUMBER('Workstreams'!$N18)),IF(AND(H$6&gt;='Workstreams'!$M18,H$6&lt;='Workstreams'!$N18),IF('Workstreams'!$R18="Accepted","Done","Plan"),""),"Inputs needed")</x:f>
      </x:c>
      <x:c r="I18" s="17" t="str">
        <x:f>IF(AND(ISNUMBER('Workstreams'!$M18),ISNUMBER('Workstreams'!$N18)),IF(AND(I$6&gt;='Workstreams'!$M18,I$6&lt;='Workstreams'!$N18),IF('Workstreams'!$R18="Accepted","Done","Plan"),""),"Inputs needed")</x:f>
      </x:c>
      <x:c r="J18" s="17" t="str">
        <x:f>IF(AND(ISNUMBER('Workstreams'!$M18),ISNUMBER('Workstreams'!$N18)),IF(AND(J$6&gt;='Workstreams'!$M18,J$6&lt;='Workstreams'!$N18),IF('Workstreams'!$R18="Accepted","Done","Plan"),""),"Inputs needed")</x:f>
      </x:c>
      <x:c r="K18" s="17" t="str">
        <x:f>IF(AND(ISNUMBER('Workstreams'!$M18),ISNUMBER('Workstreams'!$N18)),IF(AND(K$6&gt;='Workstreams'!$M18,K$6&lt;='Workstreams'!$N18),IF('Workstreams'!$R18="Accepted","Done","Plan"),""),"Inputs needed")</x:f>
      </x:c>
      <x:c r="L18" s="17" t="str">
        <x:f>IF(AND(ISNUMBER('Workstreams'!$M18),ISNUMBER('Workstreams'!$N18)),IF(AND(L$6&gt;='Workstreams'!$M18,L$6&lt;='Workstreams'!$N18),IF('Workstreams'!$R18="Accepted","Done","Plan"),""),"Inputs needed")</x:f>
      </x:c>
      <x:c r="M18" s="17" t="str">
        <x:f>IF(AND(ISNUMBER('Workstreams'!$M18),ISNUMBER('Workstreams'!$N18)),IF(AND(M$6&gt;='Workstreams'!$M18,M$6&lt;='Workstreams'!$N18),IF('Workstreams'!$R18="Accepted","Done","Plan"),""),"Inputs needed")</x:f>
      </x:c>
      <x:c r="N18" s="17" t="str">
        <x:f>IF(AND(ISNUMBER('Workstreams'!$M18),ISNUMBER('Workstreams'!$N18)),IF(AND(N$6&gt;='Workstreams'!$M18,N$6&lt;='Workstreams'!$N18),IF('Workstreams'!$R18="Accepted","Done","Plan"),""),"Inputs needed")</x:f>
      </x:c>
      <x:c r="O18" s="17" t="str">
        <x:f>IF(AND(ISNUMBER('Workstreams'!$M18),ISNUMBER('Workstreams'!$N18)),IF(AND(O$6&gt;='Workstreams'!$M18,O$6&lt;='Workstreams'!$N18),IF('Workstreams'!$R18="Accepted","Done","Plan"),""),"Inputs needed")</x:f>
      </x:c>
      <x:c r="P18" s="17" t="str">
        <x:f>IF(AND(ISNUMBER('Workstreams'!$M18),ISNUMBER('Workstreams'!$N18)),IF(AND(P$6&gt;='Workstreams'!$M18,P$6&lt;='Workstreams'!$N18),IF('Workstreams'!$R18="Accepted","Done","Plan"),""),"Inputs needed")</x:f>
        <x:v>Plan</x:v>
      </x:c>
      <x:c r="Q18" s="17" t="str">
        <x:f>IF(AND(ISNUMBER('Workstreams'!$M18),ISNUMBER('Workstreams'!$N18)),IF(AND(Q$6&gt;='Workstreams'!$M18,Q$6&lt;='Workstreams'!$N18),IF('Workstreams'!$R18="Accepted","Done","Plan"),""),"Inputs needed")</x:f>
        <x:v>Plan</x:v>
      </x:c>
      <x:c r="R18" s="17" t="str">
        <x:f>IF(AND(ISNUMBER('Workstreams'!$M18),ISNUMBER('Workstreams'!$N18)),IF(AND(R$6&gt;='Workstreams'!$M18,R$6&lt;='Workstreams'!$N18),IF('Workstreams'!$R18="Accepted","Done","Plan"),""),"Inputs needed")</x:f>
      </x:c>
      <x:c r="S18" s="17" t="str">
        <x:f>IF(AND(ISNUMBER('Workstreams'!$M18),ISNUMBER('Workstreams'!$N18)),IF(AND(S$6&gt;='Workstreams'!$M18,S$6&lt;='Workstreams'!$N18),IF('Workstreams'!$R18="Accepted","Done","Plan"),""),"Inputs needed")</x:f>
      </x:c>
      <x:c r="T18" s="17" t="str">
        <x:f>IF(AND(ISNUMBER('Workstreams'!$M18),ISNUMBER('Workstreams'!$N18)),IF(AND(T$6&gt;='Workstreams'!$M18,T$6&lt;='Workstreams'!$N18),IF('Workstreams'!$R18="Accepted","Done","Plan"),""),"Inputs needed")</x:f>
      </x:c>
      <x:c r="U18" s="17" t="str">
        <x:f>IF(AND(ISNUMBER('Workstreams'!$M18),ISNUMBER('Workstreams'!$N18)),IF(AND(U$6&gt;='Workstreams'!$M18,U$6&lt;='Workstreams'!$N18),IF('Workstreams'!$R18="Accepted","Done","Plan"),""),"Inputs needed")</x:f>
      </x:c>
      <x:c r="V18" s="17" t="str">
        <x:f>IF(AND(ISNUMBER('Workstreams'!$M18),ISNUMBER('Workstreams'!$N18)),IF(AND(V$6&gt;='Workstreams'!$M18,V$6&lt;='Workstreams'!$N18),IF('Workstreams'!$R18="Accepted","Done","Plan"),""),"Inputs needed")</x:f>
      </x:c>
      <x:c r="W18" s="17" t="str">
        <x:f>IF(AND(ISNUMBER('Workstreams'!$M18),ISNUMBER('Workstreams'!$N18)),IF(AND(W$6&gt;='Workstreams'!$M18,W$6&lt;='Workstreams'!$N18),IF('Workstreams'!$R18="Accepted","Done","Plan"),""),"Inputs needed")</x:f>
      </x:c>
      <x:c r="X18" s="17" t="str">
        <x:f>IF(AND(ISNUMBER('Workstreams'!$M18),ISNUMBER('Workstreams'!$N18)),IF(AND(X$6&gt;='Workstreams'!$M18,X$6&lt;='Workstreams'!$N18),IF('Workstreams'!$R18="Accepted","Done","Plan"),""),"Inputs needed")</x:f>
      </x:c>
      <x:c r="Y18" s="17" t="str">
        <x:f>IF(AND(ISNUMBER('Workstreams'!$M18),ISNUMBER('Workstreams'!$N18)),IF(AND(Y$6&gt;='Workstreams'!$M18,Y$6&lt;='Workstreams'!$N18),IF('Workstreams'!$R18="Accepted","Done","Plan"),""),"Inputs needed")</x:f>
      </x:c>
      <x:c r="Z18" s="17" t="str">
        <x:f>IF(AND(ISNUMBER('Workstreams'!$M18),ISNUMBER('Workstreams'!$N18)),IF(AND(Z$6&gt;='Workstreams'!$M18,Z$6&lt;='Workstreams'!$N18),IF('Workstreams'!$R18="Accepted","Done","Plan"),""),"Inputs needed")</x:f>
      </x:c>
      <x:c r="AA18" s="17" t="str">
        <x:f>IF(AND(ISNUMBER('Workstreams'!$M18),ISNUMBER('Workstreams'!$N18)),IF(AND(AA$6&gt;='Workstreams'!$M18,AA$6&lt;='Workstreams'!$N18),IF('Workstreams'!$R18="Accepted","Done","Plan"),""),"Inputs needed")</x:f>
      </x:c>
      <x:c r="AB18" s="17" t="str">
        <x:f>IF(AND(ISNUMBER('Workstreams'!$M18),ISNUMBER('Workstreams'!$N18)),IF(AND(AB$6&gt;='Workstreams'!$M18,AB$6&lt;='Workstreams'!$N18),IF('Workstreams'!$R18="Accepted","Done","Plan"),""),"Inputs needed")</x:f>
      </x:c>
      <x:c r="AC18" s="17" t="str">
        <x:f>IF(AND(ISNUMBER('Workstreams'!$M18),ISNUMBER('Workstreams'!$N18)),IF(AND(AC$6&gt;='Workstreams'!$M18,AC$6&lt;='Workstreams'!$N18),IF('Workstreams'!$R18="Accepted","Done","Plan"),""),"Inputs needed")</x:f>
      </x:c>
      <x:c r="AD18" s="17" t="str">
        <x:f>IF(AND(ISNUMBER('Workstreams'!$M18),ISNUMBER('Workstreams'!$N18)),IF(AND(AD$6&gt;='Workstreams'!$M18,AD$6&lt;='Workstreams'!$N18),IF('Workstreams'!$R18="Accepted","Done","Plan"),""),"Inputs needed")</x:f>
      </x:c>
      <x:c r="AE18" s="17" t="str">
        <x:f>IF(AND(ISNUMBER('Workstreams'!$M18),ISNUMBER('Workstreams'!$N18)),IF(AND(AE$6&gt;='Workstreams'!$M18,AE$6&lt;='Workstreams'!$N18),IF('Workstreams'!$R18="Accepted","Done","Plan"),""),"Inputs needed")</x:f>
      </x:c>
      <x:c r="AF18" s="17" t="str">
        <x:f>IF(AND(ISNUMBER('Workstreams'!$M18),ISNUMBER('Workstreams'!$N18)),IF(AND(AF$6&gt;='Workstreams'!$M18,AF$6&lt;='Workstreams'!$N18),IF('Workstreams'!$R18="Accepted","Done","Plan"),""),"Inputs needed")</x:f>
      </x:c>
      <x:c r="AG18" s="17" t="str">
        <x:f>IF(AND(ISNUMBER('Workstreams'!$M18),ISNUMBER('Workstreams'!$N18)),IF(AND(AG$6&gt;='Workstreams'!$M18,AG$6&lt;='Workstreams'!$N18),IF('Workstreams'!$R18="Accepted","Done","Plan"),""),"Inputs needed")</x:f>
      </x:c>
      <x:c r="AH18" s="17" t="str">
        <x:f>IF(AND(ISNUMBER('Workstreams'!$M18),ISNUMBER('Workstreams'!$N18)),IF(AND(AH$6&gt;='Workstreams'!$M18,AH$6&lt;='Workstreams'!$N18),IF('Workstreams'!$R18="Accepted","Done","Plan"),""),"Inputs needed")</x:f>
      </x:c>
      <x:c r="AI18" s="17" t="str">
        <x:f>IF(AND(ISNUMBER('Workstreams'!$M18),ISNUMBER('Workstreams'!$N18)),IF(AND(AI$6&gt;='Workstreams'!$M18,AI$6&lt;='Workstreams'!$N18),IF('Workstreams'!$R18="Accepted","Done","Plan"),""),"Inputs needed")</x:f>
      </x:c>
      <x:c r="AJ18" s="17" t="str">
        <x:f>IF(AND(ISNUMBER('Workstreams'!$M18),ISNUMBER('Workstreams'!$N18)),IF(AND(AJ$6&gt;='Workstreams'!$M18,AJ$6&lt;='Workstreams'!$N18),IF('Workstreams'!$R18="Accepted","Done","Plan"),""),"Inputs needed")</x:f>
      </x:c>
      <x:c r="AK18" s="17" t="str">
        <x:f>IF(AND(ISNUMBER('Workstreams'!$M18),ISNUMBER('Workstreams'!$N18)),IF(AND(AK$6&gt;='Workstreams'!$M18,AK$6&lt;='Workstreams'!$N18),IF('Workstreams'!$R18="Accepted","Done","Plan"),""),"Inputs needed")</x:f>
      </x:c>
      <x:c r="AL18" s="17" t="str">
        <x:f>IF(AND(ISNUMBER('Workstreams'!$M18),ISNUMBER('Workstreams'!$N18)),IF(AND(AL$6&gt;='Workstreams'!$M18,AL$6&lt;='Workstreams'!$N18),IF('Workstreams'!$R18="Accepted","Done","Plan"),""),"Inputs needed")</x:f>
      </x:c>
      <x:c r="AM18" s="17" t="str">
        <x:f>IF(AND(ISNUMBER('Workstreams'!$M18),ISNUMBER('Workstreams'!$N18)),IF(AND(AM$6&gt;='Workstreams'!$M18,AM$6&lt;='Workstreams'!$N18),IF('Workstreams'!$R18="Accepted","Done","Plan"),""),"Inputs needed")</x:f>
      </x:c>
      <x:c r="AN18" s="17" t="str">
        <x:f>IF(AND(ISNUMBER('Workstreams'!$M18),ISNUMBER('Workstreams'!$N18)),IF(AND(AN$6&gt;='Workstreams'!$M18,AN$6&lt;='Workstreams'!$N18),IF('Workstreams'!$R18="Accepted","Done","Plan"),""),"Inputs needed")</x:f>
      </x:c>
      <x:c r="AO18" s="17" t="str">
        <x:f>IF(AND(ISNUMBER('Workstreams'!$M18),ISNUMBER('Workstreams'!$N18)),IF(AND(AO$6&gt;='Workstreams'!$M18,AO$6&lt;='Workstreams'!$N18),IF('Workstreams'!$R18="Accepted","Done","Plan"),""),"Inputs needed")</x:f>
      </x:c>
      <x:c r="AP18" s="17" t="str">
        <x:f>IF(AND(ISNUMBER('Workstreams'!$M18),ISNUMBER('Workstreams'!$N18)),IF(AND(AP$6&gt;='Workstreams'!$M18,AP$6&lt;='Workstreams'!$N18),IF('Workstreams'!$R18="Accepted","Done","Plan"),""),"Inputs needed")</x:f>
      </x:c>
      <x:c r="AQ18" s="17" t="str">
        <x:f>IF(AND(ISNUMBER('Workstreams'!$M18),ISNUMBER('Workstreams'!$N18)),IF(AND(AQ$6&gt;='Workstreams'!$M18,AQ$6&lt;='Workstreams'!$N18),IF('Workstreams'!$R18="Accepted","Done","Plan"),""),"Inputs needed")</x:f>
      </x:c>
      <x:c r="AR18" s="17" t="str">
        <x:f>IF(AND(ISNUMBER('Workstreams'!$M18),ISNUMBER('Workstreams'!$N18)),IF(AND(AR$6&gt;='Workstreams'!$M18,AR$6&lt;='Workstreams'!$N18),IF('Workstreams'!$R18="Accepted","Done","Plan"),""),"Inputs needed")</x:f>
      </x:c>
      <x:c r="AS18" s="17" t="str">
        <x:f>IF(AND(ISNUMBER('Workstreams'!$M18),ISNUMBER('Workstreams'!$N18)),IF(AND(AS$6&gt;='Workstreams'!$M18,AS$6&lt;='Workstreams'!$N18),IF('Workstreams'!$R18="Accepted","Done","Plan"),""),"Inputs needed")</x:f>
      </x:c>
      <x:c r="AT18" s="17" t="str">
        <x:f>IF(AND(ISNUMBER('Workstreams'!$M18),ISNUMBER('Workstreams'!$N18)),IF(AND(AT$6&gt;='Workstreams'!$M18,AT$6&lt;='Workstreams'!$N18),IF('Workstreams'!$R18="Accepted","Done","Plan"),""),"Inputs needed")</x:f>
      </x:c>
      <x:c r="AU18" s="17" t="str">
        <x:f>IF(AND(ISNUMBER('Workstreams'!$M18),ISNUMBER('Workstreams'!$N18)),IF(AND(AU$6&gt;='Workstreams'!$M18,AU$6&lt;='Workstreams'!$N18),IF('Workstreams'!$R18="Accepted","Done","Plan"),""),"Inputs needed")</x:f>
      </x:c>
      <x:c r="AV18" s="17" t="str">
        <x:f>IF(AND(ISNUMBER('Workstreams'!$M18),ISNUMBER('Workstreams'!$N18)),IF(AND(AV$6&gt;='Workstreams'!$M18,AV$6&lt;='Workstreams'!$N18),IF('Workstreams'!$R18="Accepted","Done","Plan"),""),"Inputs needed")</x:f>
      </x:c>
      <x:c r="AW18" s="17" t="str">
        <x:f>IF(AND(ISNUMBER('Workstreams'!$M18),ISNUMBER('Workstreams'!$N18)),IF(AND(AW$6&gt;='Workstreams'!$M18,AW$6&lt;='Workstreams'!$N18),IF('Workstreams'!$R18="Accepted","Done","Plan"),""),"Inputs needed")</x:f>
      </x:c>
      <x:c r="AX18" s="17" t="str">
        <x:f>IF(AND(ISNUMBER('Workstreams'!$M18),ISNUMBER('Workstreams'!$N18)),IF(AND(AX$6&gt;='Workstreams'!$M18,AX$6&lt;='Workstreams'!$N18),IF('Workstreams'!$R18="Accepted","Done","Plan"),""),"Inputs needed")</x:f>
      </x:c>
      <x:c r="AY18" s="17" t="str">
        <x:f>IF(AND(ISNUMBER('Workstreams'!$M18),ISNUMBER('Workstreams'!$N18)),IF(AND(AY$6&gt;='Workstreams'!$M18,AY$6&lt;='Workstreams'!$N18),IF('Workstreams'!$R18="Accepted","Done","Plan"),""),"Inputs needed")</x:f>
      </x:c>
      <x:c r="AZ18" s="17" t="str">
        <x:f>IF(AND(ISNUMBER('Workstreams'!$M18),ISNUMBER('Workstreams'!$N18)),IF(AND(AZ$6&gt;='Workstreams'!$M18,AZ$6&lt;='Workstreams'!$N18),IF('Workstreams'!$R18="Accepted","Done","Plan"),""),"Inputs needed")</x:f>
      </x:c>
      <x:c r="BA18" s="17" t="str">
        <x:f>IF(AND(ISNUMBER('Workstreams'!$M18),ISNUMBER('Workstreams'!$N18)),IF(AND(BA$6&gt;='Workstreams'!$M18,BA$6&lt;='Workstreams'!$N18),IF('Workstreams'!$R18="Accepted","Done","Plan"),""),"Inputs needed")</x:f>
      </x:c>
      <x:c r="BB18" s="17" t="str">
        <x:f>IF(AND(ISNUMBER('Workstreams'!$M18),ISNUMBER('Workstreams'!$N18)),IF(AND(BB$6&gt;='Workstreams'!$M18,BB$6&lt;='Workstreams'!$N18),IF('Workstreams'!$R18="Accepted","Done","Plan"),""),"Inputs needed")</x:f>
      </x:c>
      <x:c r="BC18" s="17" t="str">
        <x:f>IF(AND(ISNUMBER('Workstreams'!$M18),ISNUMBER('Workstreams'!$N18)),IF(AND(BC$6&gt;='Workstreams'!$M18,BC$6&lt;='Workstreams'!$N18),IF('Workstreams'!$R18="Accepted","Done","Plan"),""),"Inputs needed")</x:f>
      </x:c>
      <x:c r="BD18" s="17" t="str">
        <x:f>IF(AND(ISNUMBER('Workstreams'!$M18),ISNUMBER('Workstreams'!$N18)),IF(AND(BD$6&gt;='Workstreams'!$M18,BD$6&lt;='Workstreams'!$N18),IF('Workstreams'!$R18="Accepted","Done","Plan"),""),"Inputs needed")</x:f>
      </x:c>
    </x:row>
    <x:row r="19" ht="48" customHeight="1">
      <x:c r="A19" s="8" t="str">
        <x:f>'Workstreams'!A19</x:f>
        <x:v>W13</x:v>
      </x:c>
      <x:c r="B19" s="8" t="str">
        <x:f>'Workstreams'!B19</x:f>
        <x:v>Full journeys, financial regressions and release security</x:v>
      </x:c>
      <x:c r="C19" s="8" t="str">
        <x:f>'Workstreams'!D19</x:f>
        <x:v>Replit + Codex</x:v>
      </x:c>
      <x:c r="D19" s="8" t="str">
        <x:f>'Workstreams'!R19</x:f>
        <x:v>Awaiting approval</x:v>
      </x:c>
      <x:c r="E19" s="17" t="str">
        <x:f>IF(AND(ISNUMBER('Workstreams'!$M19),ISNUMBER('Workstreams'!$N19)),IF(AND(E$6&gt;='Workstreams'!$M19,E$6&lt;='Workstreams'!$N19),IF('Workstreams'!$R19="Accepted","Done","Plan"),""),"Inputs needed")</x:f>
      </x:c>
      <x:c r="F19" s="17" t="str">
        <x:f>IF(AND(ISNUMBER('Workstreams'!$M19),ISNUMBER('Workstreams'!$N19)),IF(AND(F$6&gt;='Workstreams'!$M19,F$6&lt;='Workstreams'!$N19),IF('Workstreams'!$R19="Accepted","Done","Plan"),""),"Inputs needed")</x:f>
      </x:c>
      <x:c r="G19" s="17" t="str">
        <x:f>IF(AND(ISNUMBER('Workstreams'!$M19),ISNUMBER('Workstreams'!$N19)),IF(AND(G$6&gt;='Workstreams'!$M19,G$6&lt;='Workstreams'!$N19),IF('Workstreams'!$R19="Accepted","Done","Plan"),""),"Inputs needed")</x:f>
      </x:c>
      <x:c r="H19" s="17" t="str">
        <x:f>IF(AND(ISNUMBER('Workstreams'!$M19),ISNUMBER('Workstreams'!$N19)),IF(AND(H$6&gt;='Workstreams'!$M19,H$6&lt;='Workstreams'!$N19),IF('Workstreams'!$R19="Accepted","Done","Plan"),""),"Inputs needed")</x:f>
      </x:c>
      <x:c r="I19" s="17" t="str">
        <x:f>IF(AND(ISNUMBER('Workstreams'!$M19),ISNUMBER('Workstreams'!$N19)),IF(AND(I$6&gt;='Workstreams'!$M19,I$6&lt;='Workstreams'!$N19),IF('Workstreams'!$R19="Accepted","Done","Plan"),""),"Inputs needed")</x:f>
      </x:c>
      <x:c r="J19" s="17" t="str">
        <x:f>IF(AND(ISNUMBER('Workstreams'!$M19),ISNUMBER('Workstreams'!$N19)),IF(AND(J$6&gt;='Workstreams'!$M19,J$6&lt;='Workstreams'!$N19),IF('Workstreams'!$R19="Accepted","Done","Plan"),""),"Inputs needed")</x:f>
      </x:c>
      <x:c r="K19" s="17" t="str">
        <x:f>IF(AND(ISNUMBER('Workstreams'!$M19),ISNUMBER('Workstreams'!$N19)),IF(AND(K$6&gt;='Workstreams'!$M19,K$6&lt;='Workstreams'!$N19),IF('Workstreams'!$R19="Accepted","Done","Plan"),""),"Inputs needed")</x:f>
      </x:c>
      <x:c r="L19" s="17" t="str">
        <x:f>IF(AND(ISNUMBER('Workstreams'!$M19),ISNUMBER('Workstreams'!$N19)),IF(AND(L$6&gt;='Workstreams'!$M19,L$6&lt;='Workstreams'!$N19),IF('Workstreams'!$R19="Accepted","Done","Plan"),""),"Inputs needed")</x:f>
      </x:c>
      <x:c r="M19" s="17" t="str">
        <x:f>IF(AND(ISNUMBER('Workstreams'!$M19),ISNUMBER('Workstreams'!$N19)),IF(AND(M$6&gt;='Workstreams'!$M19,M$6&lt;='Workstreams'!$N19),IF('Workstreams'!$R19="Accepted","Done","Plan"),""),"Inputs needed")</x:f>
      </x:c>
      <x:c r="N19" s="17" t="str">
        <x:f>IF(AND(ISNUMBER('Workstreams'!$M19),ISNUMBER('Workstreams'!$N19)),IF(AND(N$6&gt;='Workstreams'!$M19,N$6&lt;='Workstreams'!$N19),IF('Workstreams'!$R19="Accepted","Done","Plan"),""),"Inputs needed")</x:f>
      </x:c>
      <x:c r="O19" s="17" t="str">
        <x:f>IF(AND(ISNUMBER('Workstreams'!$M19),ISNUMBER('Workstreams'!$N19)),IF(AND(O$6&gt;='Workstreams'!$M19,O$6&lt;='Workstreams'!$N19),IF('Workstreams'!$R19="Accepted","Done","Plan"),""),"Inputs needed")</x:f>
      </x:c>
      <x:c r="P19" s="17" t="str">
        <x:f>IF(AND(ISNUMBER('Workstreams'!$M19),ISNUMBER('Workstreams'!$N19)),IF(AND(P$6&gt;='Workstreams'!$M19,P$6&lt;='Workstreams'!$N19),IF('Workstreams'!$R19="Accepted","Done","Plan"),""),"Inputs needed")</x:f>
      </x:c>
      <x:c r="Q19" s="17" t="str">
        <x:f>IF(AND(ISNUMBER('Workstreams'!$M19),ISNUMBER('Workstreams'!$N19)),IF(AND(Q$6&gt;='Workstreams'!$M19,Q$6&lt;='Workstreams'!$N19),IF('Workstreams'!$R19="Accepted","Done","Plan"),""),"Inputs needed")</x:f>
        <x:v>Plan</x:v>
      </x:c>
      <x:c r="R19" s="17" t="str">
        <x:f>IF(AND(ISNUMBER('Workstreams'!$M19),ISNUMBER('Workstreams'!$N19)),IF(AND(R$6&gt;='Workstreams'!$M19,R$6&lt;='Workstreams'!$N19),IF('Workstreams'!$R19="Accepted","Done","Plan"),""),"Inputs needed")</x:f>
        <x:v>Plan</x:v>
      </x:c>
      <x:c r="S19" s="17" t="str">
        <x:f>IF(AND(ISNUMBER('Workstreams'!$M19),ISNUMBER('Workstreams'!$N19)),IF(AND(S$6&gt;='Workstreams'!$M19,S$6&lt;='Workstreams'!$N19),IF('Workstreams'!$R19="Accepted","Done","Plan"),""),"Inputs needed")</x:f>
      </x:c>
      <x:c r="T19" s="17" t="str">
        <x:f>IF(AND(ISNUMBER('Workstreams'!$M19),ISNUMBER('Workstreams'!$N19)),IF(AND(T$6&gt;='Workstreams'!$M19,T$6&lt;='Workstreams'!$N19),IF('Workstreams'!$R19="Accepted","Done","Plan"),""),"Inputs needed")</x:f>
      </x:c>
      <x:c r="U19" s="17" t="str">
        <x:f>IF(AND(ISNUMBER('Workstreams'!$M19),ISNUMBER('Workstreams'!$N19)),IF(AND(U$6&gt;='Workstreams'!$M19,U$6&lt;='Workstreams'!$N19),IF('Workstreams'!$R19="Accepted","Done","Plan"),""),"Inputs needed")</x:f>
      </x:c>
      <x:c r="V19" s="17" t="str">
        <x:f>IF(AND(ISNUMBER('Workstreams'!$M19),ISNUMBER('Workstreams'!$N19)),IF(AND(V$6&gt;='Workstreams'!$M19,V$6&lt;='Workstreams'!$N19),IF('Workstreams'!$R19="Accepted","Done","Plan"),""),"Inputs needed")</x:f>
      </x:c>
      <x:c r="W19" s="17" t="str">
        <x:f>IF(AND(ISNUMBER('Workstreams'!$M19),ISNUMBER('Workstreams'!$N19)),IF(AND(W$6&gt;='Workstreams'!$M19,W$6&lt;='Workstreams'!$N19),IF('Workstreams'!$R19="Accepted","Done","Plan"),""),"Inputs needed")</x:f>
      </x:c>
      <x:c r="X19" s="17" t="str">
        <x:f>IF(AND(ISNUMBER('Workstreams'!$M19),ISNUMBER('Workstreams'!$N19)),IF(AND(X$6&gt;='Workstreams'!$M19,X$6&lt;='Workstreams'!$N19),IF('Workstreams'!$R19="Accepted","Done","Plan"),""),"Inputs needed")</x:f>
      </x:c>
      <x:c r="Y19" s="17" t="str">
        <x:f>IF(AND(ISNUMBER('Workstreams'!$M19),ISNUMBER('Workstreams'!$N19)),IF(AND(Y$6&gt;='Workstreams'!$M19,Y$6&lt;='Workstreams'!$N19),IF('Workstreams'!$R19="Accepted","Done","Plan"),""),"Inputs needed")</x:f>
      </x:c>
      <x:c r="Z19" s="17" t="str">
        <x:f>IF(AND(ISNUMBER('Workstreams'!$M19),ISNUMBER('Workstreams'!$N19)),IF(AND(Z$6&gt;='Workstreams'!$M19,Z$6&lt;='Workstreams'!$N19),IF('Workstreams'!$R19="Accepted","Done","Plan"),""),"Inputs needed")</x:f>
      </x:c>
      <x:c r="AA19" s="17" t="str">
        <x:f>IF(AND(ISNUMBER('Workstreams'!$M19),ISNUMBER('Workstreams'!$N19)),IF(AND(AA$6&gt;='Workstreams'!$M19,AA$6&lt;='Workstreams'!$N19),IF('Workstreams'!$R19="Accepted","Done","Plan"),""),"Inputs needed")</x:f>
      </x:c>
      <x:c r="AB19" s="17" t="str">
        <x:f>IF(AND(ISNUMBER('Workstreams'!$M19),ISNUMBER('Workstreams'!$N19)),IF(AND(AB$6&gt;='Workstreams'!$M19,AB$6&lt;='Workstreams'!$N19),IF('Workstreams'!$R19="Accepted","Done","Plan"),""),"Inputs needed")</x:f>
      </x:c>
      <x:c r="AC19" s="17" t="str">
        <x:f>IF(AND(ISNUMBER('Workstreams'!$M19),ISNUMBER('Workstreams'!$N19)),IF(AND(AC$6&gt;='Workstreams'!$M19,AC$6&lt;='Workstreams'!$N19),IF('Workstreams'!$R19="Accepted","Done","Plan"),""),"Inputs needed")</x:f>
      </x:c>
      <x:c r="AD19" s="17" t="str">
        <x:f>IF(AND(ISNUMBER('Workstreams'!$M19),ISNUMBER('Workstreams'!$N19)),IF(AND(AD$6&gt;='Workstreams'!$M19,AD$6&lt;='Workstreams'!$N19),IF('Workstreams'!$R19="Accepted","Done","Plan"),""),"Inputs needed")</x:f>
      </x:c>
      <x:c r="AE19" s="17" t="str">
        <x:f>IF(AND(ISNUMBER('Workstreams'!$M19),ISNUMBER('Workstreams'!$N19)),IF(AND(AE$6&gt;='Workstreams'!$M19,AE$6&lt;='Workstreams'!$N19),IF('Workstreams'!$R19="Accepted","Done","Plan"),""),"Inputs needed")</x:f>
      </x:c>
      <x:c r="AF19" s="17" t="str">
        <x:f>IF(AND(ISNUMBER('Workstreams'!$M19),ISNUMBER('Workstreams'!$N19)),IF(AND(AF$6&gt;='Workstreams'!$M19,AF$6&lt;='Workstreams'!$N19),IF('Workstreams'!$R19="Accepted","Done","Plan"),""),"Inputs needed")</x:f>
      </x:c>
      <x:c r="AG19" s="17" t="str">
        <x:f>IF(AND(ISNUMBER('Workstreams'!$M19),ISNUMBER('Workstreams'!$N19)),IF(AND(AG$6&gt;='Workstreams'!$M19,AG$6&lt;='Workstreams'!$N19),IF('Workstreams'!$R19="Accepted","Done","Plan"),""),"Inputs needed")</x:f>
      </x:c>
      <x:c r="AH19" s="17" t="str">
        <x:f>IF(AND(ISNUMBER('Workstreams'!$M19),ISNUMBER('Workstreams'!$N19)),IF(AND(AH$6&gt;='Workstreams'!$M19,AH$6&lt;='Workstreams'!$N19),IF('Workstreams'!$R19="Accepted","Done","Plan"),""),"Inputs needed")</x:f>
      </x:c>
      <x:c r="AI19" s="17" t="str">
        <x:f>IF(AND(ISNUMBER('Workstreams'!$M19),ISNUMBER('Workstreams'!$N19)),IF(AND(AI$6&gt;='Workstreams'!$M19,AI$6&lt;='Workstreams'!$N19),IF('Workstreams'!$R19="Accepted","Done","Plan"),""),"Inputs needed")</x:f>
      </x:c>
      <x:c r="AJ19" s="17" t="str">
        <x:f>IF(AND(ISNUMBER('Workstreams'!$M19),ISNUMBER('Workstreams'!$N19)),IF(AND(AJ$6&gt;='Workstreams'!$M19,AJ$6&lt;='Workstreams'!$N19),IF('Workstreams'!$R19="Accepted","Done","Plan"),""),"Inputs needed")</x:f>
      </x:c>
      <x:c r="AK19" s="17" t="str">
        <x:f>IF(AND(ISNUMBER('Workstreams'!$M19),ISNUMBER('Workstreams'!$N19)),IF(AND(AK$6&gt;='Workstreams'!$M19,AK$6&lt;='Workstreams'!$N19),IF('Workstreams'!$R19="Accepted","Done","Plan"),""),"Inputs needed")</x:f>
      </x:c>
      <x:c r="AL19" s="17" t="str">
        <x:f>IF(AND(ISNUMBER('Workstreams'!$M19),ISNUMBER('Workstreams'!$N19)),IF(AND(AL$6&gt;='Workstreams'!$M19,AL$6&lt;='Workstreams'!$N19),IF('Workstreams'!$R19="Accepted","Done","Plan"),""),"Inputs needed")</x:f>
      </x:c>
      <x:c r="AM19" s="17" t="str">
        <x:f>IF(AND(ISNUMBER('Workstreams'!$M19),ISNUMBER('Workstreams'!$N19)),IF(AND(AM$6&gt;='Workstreams'!$M19,AM$6&lt;='Workstreams'!$N19),IF('Workstreams'!$R19="Accepted","Done","Plan"),""),"Inputs needed")</x:f>
      </x:c>
      <x:c r="AN19" s="17" t="str">
        <x:f>IF(AND(ISNUMBER('Workstreams'!$M19),ISNUMBER('Workstreams'!$N19)),IF(AND(AN$6&gt;='Workstreams'!$M19,AN$6&lt;='Workstreams'!$N19),IF('Workstreams'!$R19="Accepted","Done","Plan"),""),"Inputs needed")</x:f>
      </x:c>
      <x:c r="AO19" s="17" t="str">
        <x:f>IF(AND(ISNUMBER('Workstreams'!$M19),ISNUMBER('Workstreams'!$N19)),IF(AND(AO$6&gt;='Workstreams'!$M19,AO$6&lt;='Workstreams'!$N19),IF('Workstreams'!$R19="Accepted","Done","Plan"),""),"Inputs needed")</x:f>
      </x:c>
      <x:c r="AP19" s="17" t="str">
        <x:f>IF(AND(ISNUMBER('Workstreams'!$M19),ISNUMBER('Workstreams'!$N19)),IF(AND(AP$6&gt;='Workstreams'!$M19,AP$6&lt;='Workstreams'!$N19),IF('Workstreams'!$R19="Accepted","Done","Plan"),""),"Inputs needed")</x:f>
      </x:c>
      <x:c r="AQ19" s="17" t="str">
        <x:f>IF(AND(ISNUMBER('Workstreams'!$M19),ISNUMBER('Workstreams'!$N19)),IF(AND(AQ$6&gt;='Workstreams'!$M19,AQ$6&lt;='Workstreams'!$N19),IF('Workstreams'!$R19="Accepted","Done","Plan"),""),"Inputs needed")</x:f>
      </x:c>
      <x:c r="AR19" s="17" t="str">
        <x:f>IF(AND(ISNUMBER('Workstreams'!$M19),ISNUMBER('Workstreams'!$N19)),IF(AND(AR$6&gt;='Workstreams'!$M19,AR$6&lt;='Workstreams'!$N19),IF('Workstreams'!$R19="Accepted","Done","Plan"),""),"Inputs needed")</x:f>
      </x:c>
      <x:c r="AS19" s="17" t="str">
        <x:f>IF(AND(ISNUMBER('Workstreams'!$M19),ISNUMBER('Workstreams'!$N19)),IF(AND(AS$6&gt;='Workstreams'!$M19,AS$6&lt;='Workstreams'!$N19),IF('Workstreams'!$R19="Accepted","Done","Plan"),""),"Inputs needed")</x:f>
      </x:c>
      <x:c r="AT19" s="17" t="str">
        <x:f>IF(AND(ISNUMBER('Workstreams'!$M19),ISNUMBER('Workstreams'!$N19)),IF(AND(AT$6&gt;='Workstreams'!$M19,AT$6&lt;='Workstreams'!$N19),IF('Workstreams'!$R19="Accepted","Done","Plan"),""),"Inputs needed")</x:f>
      </x:c>
      <x:c r="AU19" s="17" t="str">
        <x:f>IF(AND(ISNUMBER('Workstreams'!$M19),ISNUMBER('Workstreams'!$N19)),IF(AND(AU$6&gt;='Workstreams'!$M19,AU$6&lt;='Workstreams'!$N19),IF('Workstreams'!$R19="Accepted","Done","Plan"),""),"Inputs needed")</x:f>
      </x:c>
      <x:c r="AV19" s="17" t="str">
        <x:f>IF(AND(ISNUMBER('Workstreams'!$M19),ISNUMBER('Workstreams'!$N19)),IF(AND(AV$6&gt;='Workstreams'!$M19,AV$6&lt;='Workstreams'!$N19),IF('Workstreams'!$R19="Accepted","Done","Plan"),""),"Inputs needed")</x:f>
      </x:c>
      <x:c r="AW19" s="17" t="str">
        <x:f>IF(AND(ISNUMBER('Workstreams'!$M19),ISNUMBER('Workstreams'!$N19)),IF(AND(AW$6&gt;='Workstreams'!$M19,AW$6&lt;='Workstreams'!$N19),IF('Workstreams'!$R19="Accepted","Done","Plan"),""),"Inputs needed")</x:f>
      </x:c>
      <x:c r="AX19" s="17" t="str">
        <x:f>IF(AND(ISNUMBER('Workstreams'!$M19),ISNUMBER('Workstreams'!$N19)),IF(AND(AX$6&gt;='Workstreams'!$M19,AX$6&lt;='Workstreams'!$N19),IF('Workstreams'!$R19="Accepted","Done","Plan"),""),"Inputs needed")</x:f>
      </x:c>
      <x:c r="AY19" s="17" t="str">
        <x:f>IF(AND(ISNUMBER('Workstreams'!$M19),ISNUMBER('Workstreams'!$N19)),IF(AND(AY$6&gt;='Workstreams'!$M19,AY$6&lt;='Workstreams'!$N19),IF('Workstreams'!$R19="Accepted","Done","Plan"),""),"Inputs needed")</x:f>
      </x:c>
      <x:c r="AZ19" s="17" t="str">
        <x:f>IF(AND(ISNUMBER('Workstreams'!$M19),ISNUMBER('Workstreams'!$N19)),IF(AND(AZ$6&gt;='Workstreams'!$M19,AZ$6&lt;='Workstreams'!$N19),IF('Workstreams'!$R19="Accepted","Done","Plan"),""),"Inputs needed")</x:f>
      </x:c>
      <x:c r="BA19" s="17" t="str">
        <x:f>IF(AND(ISNUMBER('Workstreams'!$M19),ISNUMBER('Workstreams'!$N19)),IF(AND(BA$6&gt;='Workstreams'!$M19,BA$6&lt;='Workstreams'!$N19),IF('Workstreams'!$R19="Accepted","Done","Plan"),""),"Inputs needed")</x:f>
      </x:c>
      <x:c r="BB19" s="17" t="str">
        <x:f>IF(AND(ISNUMBER('Workstreams'!$M19),ISNUMBER('Workstreams'!$N19)),IF(AND(BB$6&gt;='Workstreams'!$M19,BB$6&lt;='Workstreams'!$N19),IF('Workstreams'!$R19="Accepted","Done","Plan"),""),"Inputs needed")</x:f>
      </x:c>
      <x:c r="BC19" s="17" t="str">
        <x:f>IF(AND(ISNUMBER('Workstreams'!$M19),ISNUMBER('Workstreams'!$N19)),IF(AND(BC$6&gt;='Workstreams'!$M19,BC$6&lt;='Workstreams'!$N19),IF('Workstreams'!$R19="Accepted","Done","Plan"),""),"Inputs needed")</x:f>
      </x:c>
      <x:c r="BD19" s="17" t="str">
        <x:f>IF(AND(ISNUMBER('Workstreams'!$M19),ISNUMBER('Workstreams'!$N19)),IF(AND(BD$6&gt;='Workstreams'!$M19,BD$6&lt;='Workstreams'!$N19),IF('Workstreams'!$R19="Accepted","Done","Plan"),""),"Inputs needed")</x:f>
      </x:c>
    </x:row>
    <x:row r="20" ht="48" customHeight="1">
      <x:c r="A20" s="8" t="str">
        <x:f>'Workstreams'!A20</x:f>
        <x:v>W14</x:v>
      </x:c>
      <x:c r="B20" s="8" t="str">
        <x:f>'Workstreams'!B20</x:f>
        <x:v>Production configuration, recovery and monitoring</x:v>
      </x:c>
      <x:c r="C20" s="8" t="str">
        <x:f>'Workstreams'!D20</x:f>
        <x:v>Replit + Codex</x:v>
      </x:c>
      <x:c r="D20" s="8" t="str">
        <x:f>'Workstreams'!R20</x:f>
        <x:v>Awaiting approval</x:v>
      </x:c>
      <x:c r="E20" s="17" t="str">
        <x:f>IF(AND(ISNUMBER('Workstreams'!$M20),ISNUMBER('Workstreams'!$N20)),IF(AND(E$6&gt;='Workstreams'!$M20,E$6&lt;='Workstreams'!$N20),IF('Workstreams'!$R20="Accepted","Done","Plan"),""),"Inputs needed")</x:f>
      </x:c>
      <x:c r="F20" s="17" t="str">
        <x:f>IF(AND(ISNUMBER('Workstreams'!$M20),ISNUMBER('Workstreams'!$N20)),IF(AND(F$6&gt;='Workstreams'!$M20,F$6&lt;='Workstreams'!$N20),IF('Workstreams'!$R20="Accepted","Done","Plan"),""),"Inputs needed")</x:f>
      </x:c>
      <x:c r="G20" s="17" t="str">
        <x:f>IF(AND(ISNUMBER('Workstreams'!$M20),ISNUMBER('Workstreams'!$N20)),IF(AND(G$6&gt;='Workstreams'!$M20,G$6&lt;='Workstreams'!$N20),IF('Workstreams'!$R20="Accepted","Done","Plan"),""),"Inputs needed")</x:f>
      </x:c>
      <x:c r="H20" s="17" t="str">
        <x:f>IF(AND(ISNUMBER('Workstreams'!$M20),ISNUMBER('Workstreams'!$N20)),IF(AND(H$6&gt;='Workstreams'!$M20,H$6&lt;='Workstreams'!$N20),IF('Workstreams'!$R20="Accepted","Done","Plan"),""),"Inputs needed")</x:f>
      </x:c>
      <x:c r="I20" s="17" t="str">
        <x:f>IF(AND(ISNUMBER('Workstreams'!$M20),ISNUMBER('Workstreams'!$N20)),IF(AND(I$6&gt;='Workstreams'!$M20,I$6&lt;='Workstreams'!$N20),IF('Workstreams'!$R20="Accepted","Done","Plan"),""),"Inputs needed")</x:f>
      </x:c>
      <x:c r="J20" s="17" t="str">
        <x:f>IF(AND(ISNUMBER('Workstreams'!$M20),ISNUMBER('Workstreams'!$N20)),IF(AND(J$6&gt;='Workstreams'!$M20,J$6&lt;='Workstreams'!$N20),IF('Workstreams'!$R20="Accepted","Done","Plan"),""),"Inputs needed")</x:f>
      </x:c>
      <x:c r="K20" s="17" t="str">
        <x:f>IF(AND(ISNUMBER('Workstreams'!$M20),ISNUMBER('Workstreams'!$N20)),IF(AND(K$6&gt;='Workstreams'!$M20,K$6&lt;='Workstreams'!$N20),IF('Workstreams'!$R20="Accepted","Done","Plan"),""),"Inputs needed")</x:f>
      </x:c>
      <x:c r="L20" s="17" t="str">
        <x:f>IF(AND(ISNUMBER('Workstreams'!$M20),ISNUMBER('Workstreams'!$N20)),IF(AND(L$6&gt;='Workstreams'!$M20,L$6&lt;='Workstreams'!$N20),IF('Workstreams'!$R20="Accepted","Done","Plan"),""),"Inputs needed")</x:f>
      </x:c>
      <x:c r="M20" s="17" t="str">
        <x:f>IF(AND(ISNUMBER('Workstreams'!$M20),ISNUMBER('Workstreams'!$N20)),IF(AND(M$6&gt;='Workstreams'!$M20,M$6&lt;='Workstreams'!$N20),IF('Workstreams'!$R20="Accepted","Done","Plan"),""),"Inputs needed")</x:f>
      </x:c>
      <x:c r="N20" s="17" t="str">
        <x:f>IF(AND(ISNUMBER('Workstreams'!$M20),ISNUMBER('Workstreams'!$N20)),IF(AND(N$6&gt;='Workstreams'!$M20,N$6&lt;='Workstreams'!$N20),IF('Workstreams'!$R20="Accepted","Done","Plan"),""),"Inputs needed")</x:f>
      </x:c>
      <x:c r="O20" s="17" t="str">
        <x:f>IF(AND(ISNUMBER('Workstreams'!$M20),ISNUMBER('Workstreams'!$N20)),IF(AND(O$6&gt;='Workstreams'!$M20,O$6&lt;='Workstreams'!$N20),IF('Workstreams'!$R20="Accepted","Done","Plan"),""),"Inputs needed")</x:f>
      </x:c>
      <x:c r="P20" s="17" t="str">
        <x:f>IF(AND(ISNUMBER('Workstreams'!$M20),ISNUMBER('Workstreams'!$N20)),IF(AND(P$6&gt;='Workstreams'!$M20,P$6&lt;='Workstreams'!$N20),IF('Workstreams'!$R20="Accepted","Done","Plan"),""),"Inputs needed")</x:f>
      </x:c>
      <x:c r="Q20" s="17" t="str">
        <x:f>IF(AND(ISNUMBER('Workstreams'!$M20),ISNUMBER('Workstreams'!$N20)),IF(AND(Q$6&gt;='Workstreams'!$M20,Q$6&lt;='Workstreams'!$N20),IF('Workstreams'!$R20="Accepted","Done","Plan"),""),"Inputs needed")</x:f>
      </x:c>
      <x:c r="R20" s="17" t="str">
        <x:f>IF(AND(ISNUMBER('Workstreams'!$M20),ISNUMBER('Workstreams'!$N20)),IF(AND(R$6&gt;='Workstreams'!$M20,R$6&lt;='Workstreams'!$N20),IF('Workstreams'!$R20="Accepted","Done","Plan"),""),"Inputs needed")</x:f>
        <x:v>Plan</x:v>
      </x:c>
      <x:c r="S20" s="17" t="str">
        <x:f>IF(AND(ISNUMBER('Workstreams'!$M20),ISNUMBER('Workstreams'!$N20)),IF(AND(S$6&gt;='Workstreams'!$M20,S$6&lt;='Workstreams'!$N20),IF('Workstreams'!$R20="Accepted","Done","Plan"),""),"Inputs needed")</x:f>
        <x:v>Plan</x:v>
      </x:c>
      <x:c r="T20" s="17" t="str">
        <x:f>IF(AND(ISNUMBER('Workstreams'!$M20),ISNUMBER('Workstreams'!$N20)),IF(AND(T$6&gt;='Workstreams'!$M20,T$6&lt;='Workstreams'!$N20),IF('Workstreams'!$R20="Accepted","Done","Plan"),""),"Inputs needed")</x:f>
      </x:c>
      <x:c r="U20" s="17" t="str">
        <x:f>IF(AND(ISNUMBER('Workstreams'!$M20),ISNUMBER('Workstreams'!$N20)),IF(AND(U$6&gt;='Workstreams'!$M20,U$6&lt;='Workstreams'!$N20),IF('Workstreams'!$R20="Accepted","Done","Plan"),""),"Inputs needed")</x:f>
      </x:c>
      <x:c r="V20" s="17" t="str">
        <x:f>IF(AND(ISNUMBER('Workstreams'!$M20),ISNUMBER('Workstreams'!$N20)),IF(AND(V$6&gt;='Workstreams'!$M20,V$6&lt;='Workstreams'!$N20),IF('Workstreams'!$R20="Accepted","Done","Plan"),""),"Inputs needed")</x:f>
      </x:c>
      <x:c r="W20" s="17" t="str">
        <x:f>IF(AND(ISNUMBER('Workstreams'!$M20),ISNUMBER('Workstreams'!$N20)),IF(AND(W$6&gt;='Workstreams'!$M20,W$6&lt;='Workstreams'!$N20),IF('Workstreams'!$R20="Accepted","Done","Plan"),""),"Inputs needed")</x:f>
      </x:c>
      <x:c r="X20" s="17" t="str">
        <x:f>IF(AND(ISNUMBER('Workstreams'!$M20),ISNUMBER('Workstreams'!$N20)),IF(AND(X$6&gt;='Workstreams'!$M20,X$6&lt;='Workstreams'!$N20),IF('Workstreams'!$R20="Accepted","Done","Plan"),""),"Inputs needed")</x:f>
      </x:c>
      <x:c r="Y20" s="17" t="str">
        <x:f>IF(AND(ISNUMBER('Workstreams'!$M20),ISNUMBER('Workstreams'!$N20)),IF(AND(Y$6&gt;='Workstreams'!$M20,Y$6&lt;='Workstreams'!$N20),IF('Workstreams'!$R20="Accepted","Done","Plan"),""),"Inputs needed")</x:f>
      </x:c>
      <x:c r="Z20" s="17" t="str">
        <x:f>IF(AND(ISNUMBER('Workstreams'!$M20),ISNUMBER('Workstreams'!$N20)),IF(AND(Z$6&gt;='Workstreams'!$M20,Z$6&lt;='Workstreams'!$N20),IF('Workstreams'!$R20="Accepted","Done","Plan"),""),"Inputs needed")</x:f>
      </x:c>
      <x:c r="AA20" s="17" t="str">
        <x:f>IF(AND(ISNUMBER('Workstreams'!$M20),ISNUMBER('Workstreams'!$N20)),IF(AND(AA$6&gt;='Workstreams'!$M20,AA$6&lt;='Workstreams'!$N20),IF('Workstreams'!$R20="Accepted","Done","Plan"),""),"Inputs needed")</x:f>
      </x:c>
      <x:c r="AB20" s="17" t="str">
        <x:f>IF(AND(ISNUMBER('Workstreams'!$M20),ISNUMBER('Workstreams'!$N20)),IF(AND(AB$6&gt;='Workstreams'!$M20,AB$6&lt;='Workstreams'!$N20),IF('Workstreams'!$R20="Accepted","Done","Plan"),""),"Inputs needed")</x:f>
      </x:c>
      <x:c r="AC20" s="17" t="str">
        <x:f>IF(AND(ISNUMBER('Workstreams'!$M20),ISNUMBER('Workstreams'!$N20)),IF(AND(AC$6&gt;='Workstreams'!$M20,AC$6&lt;='Workstreams'!$N20),IF('Workstreams'!$R20="Accepted","Done","Plan"),""),"Inputs needed")</x:f>
      </x:c>
      <x:c r="AD20" s="17" t="str">
        <x:f>IF(AND(ISNUMBER('Workstreams'!$M20),ISNUMBER('Workstreams'!$N20)),IF(AND(AD$6&gt;='Workstreams'!$M20,AD$6&lt;='Workstreams'!$N20),IF('Workstreams'!$R20="Accepted","Done","Plan"),""),"Inputs needed")</x:f>
      </x:c>
      <x:c r="AE20" s="17" t="str">
        <x:f>IF(AND(ISNUMBER('Workstreams'!$M20),ISNUMBER('Workstreams'!$N20)),IF(AND(AE$6&gt;='Workstreams'!$M20,AE$6&lt;='Workstreams'!$N20),IF('Workstreams'!$R20="Accepted","Done","Plan"),""),"Inputs needed")</x:f>
      </x:c>
      <x:c r="AF20" s="17" t="str">
        <x:f>IF(AND(ISNUMBER('Workstreams'!$M20),ISNUMBER('Workstreams'!$N20)),IF(AND(AF$6&gt;='Workstreams'!$M20,AF$6&lt;='Workstreams'!$N20),IF('Workstreams'!$R20="Accepted","Done","Plan"),""),"Inputs needed")</x:f>
      </x:c>
      <x:c r="AG20" s="17" t="str">
        <x:f>IF(AND(ISNUMBER('Workstreams'!$M20),ISNUMBER('Workstreams'!$N20)),IF(AND(AG$6&gt;='Workstreams'!$M20,AG$6&lt;='Workstreams'!$N20),IF('Workstreams'!$R20="Accepted","Done","Plan"),""),"Inputs needed")</x:f>
      </x:c>
      <x:c r="AH20" s="17" t="str">
        <x:f>IF(AND(ISNUMBER('Workstreams'!$M20),ISNUMBER('Workstreams'!$N20)),IF(AND(AH$6&gt;='Workstreams'!$M20,AH$6&lt;='Workstreams'!$N20),IF('Workstreams'!$R20="Accepted","Done","Plan"),""),"Inputs needed")</x:f>
      </x:c>
      <x:c r="AI20" s="17" t="str">
        <x:f>IF(AND(ISNUMBER('Workstreams'!$M20),ISNUMBER('Workstreams'!$N20)),IF(AND(AI$6&gt;='Workstreams'!$M20,AI$6&lt;='Workstreams'!$N20),IF('Workstreams'!$R20="Accepted","Done","Plan"),""),"Inputs needed")</x:f>
      </x:c>
      <x:c r="AJ20" s="17" t="str">
        <x:f>IF(AND(ISNUMBER('Workstreams'!$M20),ISNUMBER('Workstreams'!$N20)),IF(AND(AJ$6&gt;='Workstreams'!$M20,AJ$6&lt;='Workstreams'!$N20),IF('Workstreams'!$R20="Accepted","Done","Plan"),""),"Inputs needed")</x:f>
      </x:c>
      <x:c r="AK20" s="17" t="str">
        <x:f>IF(AND(ISNUMBER('Workstreams'!$M20),ISNUMBER('Workstreams'!$N20)),IF(AND(AK$6&gt;='Workstreams'!$M20,AK$6&lt;='Workstreams'!$N20),IF('Workstreams'!$R20="Accepted","Done","Plan"),""),"Inputs needed")</x:f>
      </x:c>
      <x:c r="AL20" s="17" t="str">
        <x:f>IF(AND(ISNUMBER('Workstreams'!$M20),ISNUMBER('Workstreams'!$N20)),IF(AND(AL$6&gt;='Workstreams'!$M20,AL$6&lt;='Workstreams'!$N20),IF('Workstreams'!$R20="Accepted","Done","Plan"),""),"Inputs needed")</x:f>
      </x:c>
      <x:c r="AM20" s="17" t="str">
        <x:f>IF(AND(ISNUMBER('Workstreams'!$M20),ISNUMBER('Workstreams'!$N20)),IF(AND(AM$6&gt;='Workstreams'!$M20,AM$6&lt;='Workstreams'!$N20),IF('Workstreams'!$R20="Accepted","Done","Plan"),""),"Inputs needed")</x:f>
      </x:c>
      <x:c r="AN20" s="17" t="str">
        <x:f>IF(AND(ISNUMBER('Workstreams'!$M20),ISNUMBER('Workstreams'!$N20)),IF(AND(AN$6&gt;='Workstreams'!$M20,AN$6&lt;='Workstreams'!$N20),IF('Workstreams'!$R20="Accepted","Done","Plan"),""),"Inputs needed")</x:f>
      </x:c>
      <x:c r="AO20" s="17" t="str">
        <x:f>IF(AND(ISNUMBER('Workstreams'!$M20),ISNUMBER('Workstreams'!$N20)),IF(AND(AO$6&gt;='Workstreams'!$M20,AO$6&lt;='Workstreams'!$N20),IF('Workstreams'!$R20="Accepted","Done","Plan"),""),"Inputs needed")</x:f>
      </x:c>
      <x:c r="AP20" s="17" t="str">
        <x:f>IF(AND(ISNUMBER('Workstreams'!$M20),ISNUMBER('Workstreams'!$N20)),IF(AND(AP$6&gt;='Workstreams'!$M20,AP$6&lt;='Workstreams'!$N20),IF('Workstreams'!$R20="Accepted","Done","Plan"),""),"Inputs needed")</x:f>
      </x:c>
      <x:c r="AQ20" s="17" t="str">
        <x:f>IF(AND(ISNUMBER('Workstreams'!$M20),ISNUMBER('Workstreams'!$N20)),IF(AND(AQ$6&gt;='Workstreams'!$M20,AQ$6&lt;='Workstreams'!$N20),IF('Workstreams'!$R20="Accepted","Done","Plan"),""),"Inputs needed")</x:f>
      </x:c>
      <x:c r="AR20" s="17" t="str">
        <x:f>IF(AND(ISNUMBER('Workstreams'!$M20),ISNUMBER('Workstreams'!$N20)),IF(AND(AR$6&gt;='Workstreams'!$M20,AR$6&lt;='Workstreams'!$N20),IF('Workstreams'!$R20="Accepted","Done","Plan"),""),"Inputs needed")</x:f>
      </x:c>
      <x:c r="AS20" s="17" t="str">
        <x:f>IF(AND(ISNUMBER('Workstreams'!$M20),ISNUMBER('Workstreams'!$N20)),IF(AND(AS$6&gt;='Workstreams'!$M20,AS$6&lt;='Workstreams'!$N20),IF('Workstreams'!$R20="Accepted","Done","Plan"),""),"Inputs needed")</x:f>
      </x:c>
      <x:c r="AT20" s="17" t="str">
        <x:f>IF(AND(ISNUMBER('Workstreams'!$M20),ISNUMBER('Workstreams'!$N20)),IF(AND(AT$6&gt;='Workstreams'!$M20,AT$6&lt;='Workstreams'!$N20),IF('Workstreams'!$R20="Accepted","Done","Plan"),""),"Inputs needed")</x:f>
      </x:c>
      <x:c r="AU20" s="17" t="str">
        <x:f>IF(AND(ISNUMBER('Workstreams'!$M20),ISNUMBER('Workstreams'!$N20)),IF(AND(AU$6&gt;='Workstreams'!$M20,AU$6&lt;='Workstreams'!$N20),IF('Workstreams'!$R20="Accepted","Done","Plan"),""),"Inputs needed")</x:f>
      </x:c>
      <x:c r="AV20" s="17" t="str">
        <x:f>IF(AND(ISNUMBER('Workstreams'!$M20),ISNUMBER('Workstreams'!$N20)),IF(AND(AV$6&gt;='Workstreams'!$M20,AV$6&lt;='Workstreams'!$N20),IF('Workstreams'!$R20="Accepted","Done","Plan"),""),"Inputs needed")</x:f>
      </x:c>
      <x:c r="AW20" s="17" t="str">
        <x:f>IF(AND(ISNUMBER('Workstreams'!$M20),ISNUMBER('Workstreams'!$N20)),IF(AND(AW$6&gt;='Workstreams'!$M20,AW$6&lt;='Workstreams'!$N20),IF('Workstreams'!$R20="Accepted","Done","Plan"),""),"Inputs needed")</x:f>
      </x:c>
      <x:c r="AX20" s="17" t="str">
        <x:f>IF(AND(ISNUMBER('Workstreams'!$M20),ISNUMBER('Workstreams'!$N20)),IF(AND(AX$6&gt;='Workstreams'!$M20,AX$6&lt;='Workstreams'!$N20),IF('Workstreams'!$R20="Accepted","Done","Plan"),""),"Inputs needed")</x:f>
      </x:c>
      <x:c r="AY20" s="17" t="str">
        <x:f>IF(AND(ISNUMBER('Workstreams'!$M20),ISNUMBER('Workstreams'!$N20)),IF(AND(AY$6&gt;='Workstreams'!$M20,AY$6&lt;='Workstreams'!$N20),IF('Workstreams'!$R20="Accepted","Done","Plan"),""),"Inputs needed")</x:f>
      </x:c>
      <x:c r="AZ20" s="17" t="str">
        <x:f>IF(AND(ISNUMBER('Workstreams'!$M20),ISNUMBER('Workstreams'!$N20)),IF(AND(AZ$6&gt;='Workstreams'!$M20,AZ$6&lt;='Workstreams'!$N20),IF('Workstreams'!$R20="Accepted","Done","Plan"),""),"Inputs needed")</x:f>
      </x:c>
      <x:c r="BA20" s="17" t="str">
        <x:f>IF(AND(ISNUMBER('Workstreams'!$M20),ISNUMBER('Workstreams'!$N20)),IF(AND(BA$6&gt;='Workstreams'!$M20,BA$6&lt;='Workstreams'!$N20),IF('Workstreams'!$R20="Accepted","Done","Plan"),""),"Inputs needed")</x:f>
      </x:c>
      <x:c r="BB20" s="17" t="str">
        <x:f>IF(AND(ISNUMBER('Workstreams'!$M20),ISNUMBER('Workstreams'!$N20)),IF(AND(BB$6&gt;='Workstreams'!$M20,BB$6&lt;='Workstreams'!$N20),IF('Workstreams'!$R20="Accepted","Done","Plan"),""),"Inputs needed")</x:f>
      </x:c>
      <x:c r="BC20" s="17" t="str">
        <x:f>IF(AND(ISNUMBER('Workstreams'!$M20),ISNUMBER('Workstreams'!$N20)),IF(AND(BC$6&gt;='Workstreams'!$M20,BC$6&lt;='Workstreams'!$N20),IF('Workstreams'!$R20="Accepted","Done","Plan"),""),"Inputs needed")</x:f>
      </x:c>
      <x:c r="BD20" s="17" t="str">
        <x:f>IF(AND(ISNUMBER('Workstreams'!$M20),ISNUMBER('Workstreams'!$N20)),IF(AND(BD$6&gt;='Workstreams'!$M20,BD$6&lt;='Workstreams'!$N20),IF('Workstreams'!$R20="Accepted","Done","Plan"),""),"Inputs needed")</x:f>
      </x:c>
    </x:row>
    <x:row r="21" ht="48" customHeight="1">
      <x:c r="A21" s="8" t="str">
        <x:f>'Workstreams'!A21</x:f>
        <x:v>W15</x:v>
      </x:c>
      <x:c r="B21" s="8" t="str">
        <x:f>'Workstreams'!B21</x:f>
        <x:v>Pilot acceptance and controlled onboarding</x:v>
      </x:c>
      <x:c r="C21" s="8" t="str">
        <x:f>'Workstreams'!D21</x:f>
        <x:v>Lee + invited pilot businesses</x:v>
      </x:c>
      <x:c r="D21" s="8" t="str">
        <x:f>'Workstreams'!R21</x:f>
        <x:v>Awaiting approval</x:v>
      </x:c>
      <x:c r="E21" s="17" t="str">
        <x:f>IF(AND(ISNUMBER('Workstreams'!$M21),ISNUMBER('Workstreams'!$N21)),IF(AND(E$6&gt;='Workstreams'!$M21,E$6&lt;='Workstreams'!$N21),IF('Workstreams'!$R21="Accepted","Done","Plan"),""),"Inputs needed")</x:f>
      </x:c>
      <x:c r="F21" s="17" t="str">
        <x:f>IF(AND(ISNUMBER('Workstreams'!$M21),ISNUMBER('Workstreams'!$N21)),IF(AND(F$6&gt;='Workstreams'!$M21,F$6&lt;='Workstreams'!$N21),IF('Workstreams'!$R21="Accepted","Done","Plan"),""),"Inputs needed")</x:f>
      </x:c>
      <x:c r="G21" s="17" t="str">
        <x:f>IF(AND(ISNUMBER('Workstreams'!$M21),ISNUMBER('Workstreams'!$N21)),IF(AND(G$6&gt;='Workstreams'!$M21,G$6&lt;='Workstreams'!$N21),IF('Workstreams'!$R21="Accepted","Done","Plan"),""),"Inputs needed")</x:f>
      </x:c>
      <x:c r="H21" s="17" t="str">
        <x:f>IF(AND(ISNUMBER('Workstreams'!$M21),ISNUMBER('Workstreams'!$N21)),IF(AND(H$6&gt;='Workstreams'!$M21,H$6&lt;='Workstreams'!$N21),IF('Workstreams'!$R21="Accepted","Done","Plan"),""),"Inputs needed")</x:f>
      </x:c>
      <x:c r="I21" s="17" t="str">
        <x:f>IF(AND(ISNUMBER('Workstreams'!$M21),ISNUMBER('Workstreams'!$N21)),IF(AND(I$6&gt;='Workstreams'!$M21,I$6&lt;='Workstreams'!$N21),IF('Workstreams'!$R21="Accepted","Done","Plan"),""),"Inputs needed")</x:f>
      </x:c>
      <x:c r="J21" s="17" t="str">
        <x:f>IF(AND(ISNUMBER('Workstreams'!$M21),ISNUMBER('Workstreams'!$N21)),IF(AND(J$6&gt;='Workstreams'!$M21,J$6&lt;='Workstreams'!$N21),IF('Workstreams'!$R21="Accepted","Done","Plan"),""),"Inputs needed")</x:f>
      </x:c>
      <x:c r="K21" s="17" t="str">
        <x:f>IF(AND(ISNUMBER('Workstreams'!$M21),ISNUMBER('Workstreams'!$N21)),IF(AND(K$6&gt;='Workstreams'!$M21,K$6&lt;='Workstreams'!$N21),IF('Workstreams'!$R21="Accepted","Done","Plan"),""),"Inputs needed")</x:f>
      </x:c>
      <x:c r="L21" s="17" t="str">
        <x:f>IF(AND(ISNUMBER('Workstreams'!$M21),ISNUMBER('Workstreams'!$N21)),IF(AND(L$6&gt;='Workstreams'!$M21,L$6&lt;='Workstreams'!$N21),IF('Workstreams'!$R21="Accepted","Done","Plan"),""),"Inputs needed")</x:f>
      </x:c>
      <x:c r="M21" s="17" t="str">
        <x:f>IF(AND(ISNUMBER('Workstreams'!$M21),ISNUMBER('Workstreams'!$N21)),IF(AND(M$6&gt;='Workstreams'!$M21,M$6&lt;='Workstreams'!$N21),IF('Workstreams'!$R21="Accepted","Done","Plan"),""),"Inputs needed")</x:f>
      </x:c>
      <x:c r="N21" s="17" t="str">
        <x:f>IF(AND(ISNUMBER('Workstreams'!$M21),ISNUMBER('Workstreams'!$N21)),IF(AND(N$6&gt;='Workstreams'!$M21,N$6&lt;='Workstreams'!$N21),IF('Workstreams'!$R21="Accepted","Done","Plan"),""),"Inputs needed")</x:f>
      </x:c>
      <x:c r="O21" s="17" t="str">
        <x:f>IF(AND(ISNUMBER('Workstreams'!$M21),ISNUMBER('Workstreams'!$N21)),IF(AND(O$6&gt;='Workstreams'!$M21,O$6&lt;='Workstreams'!$N21),IF('Workstreams'!$R21="Accepted","Done","Plan"),""),"Inputs needed")</x:f>
      </x:c>
      <x:c r="P21" s="17" t="str">
        <x:f>IF(AND(ISNUMBER('Workstreams'!$M21),ISNUMBER('Workstreams'!$N21)),IF(AND(P$6&gt;='Workstreams'!$M21,P$6&lt;='Workstreams'!$N21),IF('Workstreams'!$R21="Accepted","Done","Plan"),""),"Inputs needed")</x:f>
      </x:c>
      <x:c r="Q21" s="17" t="str">
        <x:f>IF(AND(ISNUMBER('Workstreams'!$M21),ISNUMBER('Workstreams'!$N21)),IF(AND(Q$6&gt;='Workstreams'!$M21,Q$6&lt;='Workstreams'!$N21),IF('Workstreams'!$R21="Accepted","Done","Plan"),""),"Inputs needed")</x:f>
      </x:c>
      <x:c r="R21" s="17" t="str">
        <x:f>IF(AND(ISNUMBER('Workstreams'!$M21),ISNUMBER('Workstreams'!$N21)),IF(AND(R$6&gt;='Workstreams'!$M21,R$6&lt;='Workstreams'!$N21),IF('Workstreams'!$R21="Accepted","Done","Plan"),""),"Inputs needed")</x:f>
      </x:c>
      <x:c r="S21" s="17" t="str">
        <x:f>IF(AND(ISNUMBER('Workstreams'!$M21),ISNUMBER('Workstreams'!$N21)),IF(AND(S$6&gt;='Workstreams'!$M21,S$6&lt;='Workstreams'!$N21),IF('Workstreams'!$R21="Accepted","Done","Plan"),""),"Inputs needed")</x:f>
      </x:c>
      <x:c r="T21" s="17" t="str">
        <x:f>IF(AND(ISNUMBER('Workstreams'!$M21),ISNUMBER('Workstreams'!$N21)),IF(AND(T$6&gt;='Workstreams'!$M21,T$6&lt;='Workstreams'!$N21),IF('Workstreams'!$R21="Accepted","Done","Plan"),""),"Inputs needed")</x:f>
        <x:v>Plan</x:v>
      </x:c>
      <x:c r="U21" s="17" t="str">
        <x:f>IF(AND(ISNUMBER('Workstreams'!$M21),ISNUMBER('Workstreams'!$N21)),IF(AND(U$6&gt;='Workstreams'!$M21,U$6&lt;='Workstreams'!$N21),IF('Workstreams'!$R21="Accepted","Done","Plan"),""),"Inputs needed")</x:f>
      </x:c>
      <x:c r="V21" s="17" t="str">
        <x:f>IF(AND(ISNUMBER('Workstreams'!$M21),ISNUMBER('Workstreams'!$N21)),IF(AND(V$6&gt;='Workstreams'!$M21,V$6&lt;='Workstreams'!$N21),IF('Workstreams'!$R21="Accepted","Done","Plan"),""),"Inputs needed")</x:f>
      </x:c>
      <x:c r="W21" s="17" t="str">
        <x:f>IF(AND(ISNUMBER('Workstreams'!$M21),ISNUMBER('Workstreams'!$N21)),IF(AND(W$6&gt;='Workstreams'!$M21,W$6&lt;='Workstreams'!$N21),IF('Workstreams'!$R21="Accepted","Done","Plan"),""),"Inputs needed")</x:f>
      </x:c>
      <x:c r="X21" s="17" t="str">
        <x:f>IF(AND(ISNUMBER('Workstreams'!$M21),ISNUMBER('Workstreams'!$N21)),IF(AND(X$6&gt;='Workstreams'!$M21,X$6&lt;='Workstreams'!$N21),IF('Workstreams'!$R21="Accepted","Done","Plan"),""),"Inputs needed")</x:f>
      </x:c>
      <x:c r="Y21" s="17" t="str">
        <x:f>IF(AND(ISNUMBER('Workstreams'!$M21),ISNUMBER('Workstreams'!$N21)),IF(AND(Y$6&gt;='Workstreams'!$M21,Y$6&lt;='Workstreams'!$N21),IF('Workstreams'!$R21="Accepted","Done","Plan"),""),"Inputs needed")</x:f>
      </x:c>
      <x:c r="Z21" s="17" t="str">
        <x:f>IF(AND(ISNUMBER('Workstreams'!$M21),ISNUMBER('Workstreams'!$N21)),IF(AND(Z$6&gt;='Workstreams'!$M21,Z$6&lt;='Workstreams'!$N21),IF('Workstreams'!$R21="Accepted","Done","Plan"),""),"Inputs needed")</x:f>
      </x:c>
      <x:c r="AA21" s="17" t="str">
        <x:f>IF(AND(ISNUMBER('Workstreams'!$M21),ISNUMBER('Workstreams'!$N21)),IF(AND(AA$6&gt;='Workstreams'!$M21,AA$6&lt;='Workstreams'!$N21),IF('Workstreams'!$R21="Accepted","Done","Plan"),""),"Inputs needed")</x:f>
      </x:c>
      <x:c r="AB21" s="17" t="str">
        <x:f>IF(AND(ISNUMBER('Workstreams'!$M21),ISNUMBER('Workstreams'!$N21)),IF(AND(AB$6&gt;='Workstreams'!$M21,AB$6&lt;='Workstreams'!$N21),IF('Workstreams'!$R21="Accepted","Done","Plan"),""),"Inputs needed")</x:f>
      </x:c>
      <x:c r="AC21" s="17" t="str">
        <x:f>IF(AND(ISNUMBER('Workstreams'!$M21),ISNUMBER('Workstreams'!$N21)),IF(AND(AC$6&gt;='Workstreams'!$M21,AC$6&lt;='Workstreams'!$N21),IF('Workstreams'!$R21="Accepted","Done","Plan"),""),"Inputs needed")</x:f>
      </x:c>
      <x:c r="AD21" s="17" t="str">
        <x:f>IF(AND(ISNUMBER('Workstreams'!$M21),ISNUMBER('Workstreams'!$N21)),IF(AND(AD$6&gt;='Workstreams'!$M21,AD$6&lt;='Workstreams'!$N21),IF('Workstreams'!$R21="Accepted","Done","Plan"),""),"Inputs needed")</x:f>
      </x:c>
      <x:c r="AE21" s="17" t="str">
        <x:f>IF(AND(ISNUMBER('Workstreams'!$M21),ISNUMBER('Workstreams'!$N21)),IF(AND(AE$6&gt;='Workstreams'!$M21,AE$6&lt;='Workstreams'!$N21),IF('Workstreams'!$R21="Accepted","Done","Plan"),""),"Inputs needed")</x:f>
      </x:c>
      <x:c r="AF21" s="17" t="str">
        <x:f>IF(AND(ISNUMBER('Workstreams'!$M21),ISNUMBER('Workstreams'!$N21)),IF(AND(AF$6&gt;='Workstreams'!$M21,AF$6&lt;='Workstreams'!$N21),IF('Workstreams'!$R21="Accepted","Done","Plan"),""),"Inputs needed")</x:f>
      </x:c>
      <x:c r="AG21" s="17" t="str">
        <x:f>IF(AND(ISNUMBER('Workstreams'!$M21),ISNUMBER('Workstreams'!$N21)),IF(AND(AG$6&gt;='Workstreams'!$M21,AG$6&lt;='Workstreams'!$N21),IF('Workstreams'!$R21="Accepted","Done","Plan"),""),"Inputs needed")</x:f>
      </x:c>
      <x:c r="AH21" s="17" t="str">
        <x:f>IF(AND(ISNUMBER('Workstreams'!$M21),ISNUMBER('Workstreams'!$N21)),IF(AND(AH$6&gt;='Workstreams'!$M21,AH$6&lt;='Workstreams'!$N21),IF('Workstreams'!$R21="Accepted","Done","Plan"),""),"Inputs needed")</x:f>
      </x:c>
      <x:c r="AI21" s="17" t="str">
        <x:f>IF(AND(ISNUMBER('Workstreams'!$M21),ISNUMBER('Workstreams'!$N21)),IF(AND(AI$6&gt;='Workstreams'!$M21,AI$6&lt;='Workstreams'!$N21),IF('Workstreams'!$R21="Accepted","Done","Plan"),""),"Inputs needed")</x:f>
      </x:c>
      <x:c r="AJ21" s="17" t="str">
        <x:f>IF(AND(ISNUMBER('Workstreams'!$M21),ISNUMBER('Workstreams'!$N21)),IF(AND(AJ$6&gt;='Workstreams'!$M21,AJ$6&lt;='Workstreams'!$N21),IF('Workstreams'!$R21="Accepted","Done","Plan"),""),"Inputs needed")</x:f>
      </x:c>
      <x:c r="AK21" s="17" t="str">
        <x:f>IF(AND(ISNUMBER('Workstreams'!$M21),ISNUMBER('Workstreams'!$N21)),IF(AND(AK$6&gt;='Workstreams'!$M21,AK$6&lt;='Workstreams'!$N21),IF('Workstreams'!$R21="Accepted","Done","Plan"),""),"Inputs needed")</x:f>
      </x:c>
      <x:c r="AL21" s="17" t="str">
        <x:f>IF(AND(ISNUMBER('Workstreams'!$M21),ISNUMBER('Workstreams'!$N21)),IF(AND(AL$6&gt;='Workstreams'!$M21,AL$6&lt;='Workstreams'!$N21),IF('Workstreams'!$R21="Accepted","Done","Plan"),""),"Inputs needed")</x:f>
      </x:c>
      <x:c r="AM21" s="17" t="str">
        <x:f>IF(AND(ISNUMBER('Workstreams'!$M21),ISNUMBER('Workstreams'!$N21)),IF(AND(AM$6&gt;='Workstreams'!$M21,AM$6&lt;='Workstreams'!$N21),IF('Workstreams'!$R21="Accepted","Done","Plan"),""),"Inputs needed")</x:f>
      </x:c>
      <x:c r="AN21" s="17" t="str">
        <x:f>IF(AND(ISNUMBER('Workstreams'!$M21),ISNUMBER('Workstreams'!$N21)),IF(AND(AN$6&gt;='Workstreams'!$M21,AN$6&lt;='Workstreams'!$N21),IF('Workstreams'!$R21="Accepted","Done","Plan"),""),"Inputs needed")</x:f>
      </x:c>
      <x:c r="AO21" s="17" t="str">
        <x:f>IF(AND(ISNUMBER('Workstreams'!$M21),ISNUMBER('Workstreams'!$N21)),IF(AND(AO$6&gt;='Workstreams'!$M21,AO$6&lt;='Workstreams'!$N21),IF('Workstreams'!$R21="Accepted","Done","Plan"),""),"Inputs needed")</x:f>
      </x:c>
      <x:c r="AP21" s="17" t="str">
        <x:f>IF(AND(ISNUMBER('Workstreams'!$M21),ISNUMBER('Workstreams'!$N21)),IF(AND(AP$6&gt;='Workstreams'!$M21,AP$6&lt;='Workstreams'!$N21),IF('Workstreams'!$R21="Accepted","Done","Plan"),""),"Inputs needed")</x:f>
      </x:c>
      <x:c r="AQ21" s="17" t="str">
        <x:f>IF(AND(ISNUMBER('Workstreams'!$M21),ISNUMBER('Workstreams'!$N21)),IF(AND(AQ$6&gt;='Workstreams'!$M21,AQ$6&lt;='Workstreams'!$N21),IF('Workstreams'!$R21="Accepted","Done","Plan"),""),"Inputs needed")</x:f>
      </x:c>
      <x:c r="AR21" s="17" t="str">
        <x:f>IF(AND(ISNUMBER('Workstreams'!$M21),ISNUMBER('Workstreams'!$N21)),IF(AND(AR$6&gt;='Workstreams'!$M21,AR$6&lt;='Workstreams'!$N21),IF('Workstreams'!$R21="Accepted","Done","Plan"),""),"Inputs needed")</x:f>
      </x:c>
      <x:c r="AS21" s="17" t="str">
        <x:f>IF(AND(ISNUMBER('Workstreams'!$M21),ISNUMBER('Workstreams'!$N21)),IF(AND(AS$6&gt;='Workstreams'!$M21,AS$6&lt;='Workstreams'!$N21),IF('Workstreams'!$R21="Accepted","Done","Plan"),""),"Inputs needed")</x:f>
      </x:c>
      <x:c r="AT21" s="17" t="str">
        <x:f>IF(AND(ISNUMBER('Workstreams'!$M21),ISNUMBER('Workstreams'!$N21)),IF(AND(AT$6&gt;='Workstreams'!$M21,AT$6&lt;='Workstreams'!$N21),IF('Workstreams'!$R21="Accepted","Done","Plan"),""),"Inputs needed")</x:f>
      </x:c>
      <x:c r="AU21" s="17" t="str">
        <x:f>IF(AND(ISNUMBER('Workstreams'!$M21),ISNUMBER('Workstreams'!$N21)),IF(AND(AU$6&gt;='Workstreams'!$M21,AU$6&lt;='Workstreams'!$N21),IF('Workstreams'!$R21="Accepted","Done","Plan"),""),"Inputs needed")</x:f>
      </x:c>
      <x:c r="AV21" s="17" t="str">
        <x:f>IF(AND(ISNUMBER('Workstreams'!$M21),ISNUMBER('Workstreams'!$N21)),IF(AND(AV$6&gt;='Workstreams'!$M21,AV$6&lt;='Workstreams'!$N21),IF('Workstreams'!$R21="Accepted","Done","Plan"),""),"Inputs needed")</x:f>
      </x:c>
      <x:c r="AW21" s="17" t="str">
        <x:f>IF(AND(ISNUMBER('Workstreams'!$M21),ISNUMBER('Workstreams'!$N21)),IF(AND(AW$6&gt;='Workstreams'!$M21,AW$6&lt;='Workstreams'!$N21),IF('Workstreams'!$R21="Accepted","Done","Plan"),""),"Inputs needed")</x:f>
      </x:c>
      <x:c r="AX21" s="17" t="str">
        <x:f>IF(AND(ISNUMBER('Workstreams'!$M21),ISNUMBER('Workstreams'!$N21)),IF(AND(AX$6&gt;='Workstreams'!$M21,AX$6&lt;='Workstreams'!$N21),IF('Workstreams'!$R21="Accepted","Done","Plan"),""),"Inputs needed")</x:f>
      </x:c>
      <x:c r="AY21" s="17" t="str">
        <x:f>IF(AND(ISNUMBER('Workstreams'!$M21),ISNUMBER('Workstreams'!$N21)),IF(AND(AY$6&gt;='Workstreams'!$M21,AY$6&lt;='Workstreams'!$N21),IF('Workstreams'!$R21="Accepted","Done","Plan"),""),"Inputs needed")</x:f>
      </x:c>
      <x:c r="AZ21" s="17" t="str">
        <x:f>IF(AND(ISNUMBER('Workstreams'!$M21),ISNUMBER('Workstreams'!$N21)),IF(AND(AZ$6&gt;='Workstreams'!$M21,AZ$6&lt;='Workstreams'!$N21),IF('Workstreams'!$R21="Accepted","Done","Plan"),""),"Inputs needed")</x:f>
      </x:c>
      <x:c r="BA21" s="17" t="str">
        <x:f>IF(AND(ISNUMBER('Workstreams'!$M21),ISNUMBER('Workstreams'!$N21)),IF(AND(BA$6&gt;='Workstreams'!$M21,BA$6&lt;='Workstreams'!$N21),IF('Workstreams'!$R21="Accepted","Done","Plan"),""),"Inputs needed")</x:f>
      </x:c>
      <x:c r="BB21" s="17" t="str">
        <x:f>IF(AND(ISNUMBER('Workstreams'!$M21),ISNUMBER('Workstreams'!$N21)),IF(AND(BB$6&gt;='Workstreams'!$M21,BB$6&lt;='Workstreams'!$N21),IF('Workstreams'!$R21="Accepted","Done","Plan"),""),"Inputs needed")</x:f>
      </x:c>
      <x:c r="BC21" s="17" t="str">
        <x:f>IF(AND(ISNUMBER('Workstreams'!$M21),ISNUMBER('Workstreams'!$N21)),IF(AND(BC$6&gt;='Workstreams'!$M21,BC$6&lt;='Workstreams'!$N21),IF('Workstreams'!$R21="Accepted","Done","Plan"),""),"Inputs needed")</x:f>
      </x:c>
      <x:c r="BD21" s="17" t="str">
        <x:f>IF(AND(ISNUMBER('Workstreams'!$M21),ISNUMBER('Workstreams'!$N21)),IF(AND(BD$6&gt;='Workstreams'!$M21,BD$6&lt;='Workstreams'!$N21),IF('Workstreams'!$R21="Accepted","Done","Plan"),""),"Inputs needed")</x:f>
      </x:c>
    </x:row>
    <x:row r="22" ht="48" customHeight="1">
      <x:c r="A22" s="8" t="str">
        <x:f>'Workstreams'!A22</x:f>
        <x:v>W16</x:v>
      </x:c>
      <x:c r="B22" s="8" t="str">
        <x:f>'Workstreams'!B22</x:f>
        <x:v>Pilot feedback fixes and operating hardening</x:v>
      </x:c>
      <x:c r="C22" s="8" t="str">
        <x:f>'Workstreams'!D22</x:f>
        <x:v>Replit + Codex</x:v>
      </x:c>
      <x:c r="D22" s="8" t="str">
        <x:f>'Workstreams'!R22</x:f>
        <x:v>Awaiting approval</x:v>
      </x:c>
      <x:c r="E22" s="17" t="str">
        <x:f>IF(AND(ISNUMBER('Workstreams'!$M22),ISNUMBER('Workstreams'!$N22)),IF(AND(E$6&gt;='Workstreams'!$M22,E$6&lt;='Workstreams'!$N22),IF('Workstreams'!$R22="Accepted","Done","Plan"),""),"Inputs needed")</x:f>
      </x:c>
      <x:c r="F22" s="17" t="str">
        <x:f>IF(AND(ISNUMBER('Workstreams'!$M22),ISNUMBER('Workstreams'!$N22)),IF(AND(F$6&gt;='Workstreams'!$M22,F$6&lt;='Workstreams'!$N22),IF('Workstreams'!$R22="Accepted","Done","Plan"),""),"Inputs needed")</x:f>
      </x:c>
      <x:c r="G22" s="17" t="str">
        <x:f>IF(AND(ISNUMBER('Workstreams'!$M22),ISNUMBER('Workstreams'!$N22)),IF(AND(G$6&gt;='Workstreams'!$M22,G$6&lt;='Workstreams'!$N22),IF('Workstreams'!$R22="Accepted","Done","Plan"),""),"Inputs needed")</x:f>
      </x:c>
      <x:c r="H22" s="17" t="str">
        <x:f>IF(AND(ISNUMBER('Workstreams'!$M22),ISNUMBER('Workstreams'!$N22)),IF(AND(H$6&gt;='Workstreams'!$M22,H$6&lt;='Workstreams'!$N22),IF('Workstreams'!$R22="Accepted","Done","Plan"),""),"Inputs needed")</x:f>
      </x:c>
      <x:c r="I22" s="17" t="str">
        <x:f>IF(AND(ISNUMBER('Workstreams'!$M22),ISNUMBER('Workstreams'!$N22)),IF(AND(I$6&gt;='Workstreams'!$M22,I$6&lt;='Workstreams'!$N22),IF('Workstreams'!$R22="Accepted","Done","Plan"),""),"Inputs needed")</x:f>
      </x:c>
      <x:c r="J22" s="17" t="str">
        <x:f>IF(AND(ISNUMBER('Workstreams'!$M22),ISNUMBER('Workstreams'!$N22)),IF(AND(J$6&gt;='Workstreams'!$M22,J$6&lt;='Workstreams'!$N22),IF('Workstreams'!$R22="Accepted","Done","Plan"),""),"Inputs needed")</x:f>
      </x:c>
      <x:c r="K22" s="17" t="str">
        <x:f>IF(AND(ISNUMBER('Workstreams'!$M22),ISNUMBER('Workstreams'!$N22)),IF(AND(K$6&gt;='Workstreams'!$M22,K$6&lt;='Workstreams'!$N22),IF('Workstreams'!$R22="Accepted","Done","Plan"),""),"Inputs needed")</x:f>
      </x:c>
      <x:c r="L22" s="17" t="str">
        <x:f>IF(AND(ISNUMBER('Workstreams'!$M22),ISNUMBER('Workstreams'!$N22)),IF(AND(L$6&gt;='Workstreams'!$M22,L$6&lt;='Workstreams'!$N22),IF('Workstreams'!$R22="Accepted","Done","Plan"),""),"Inputs needed")</x:f>
      </x:c>
      <x:c r="M22" s="17" t="str">
        <x:f>IF(AND(ISNUMBER('Workstreams'!$M22),ISNUMBER('Workstreams'!$N22)),IF(AND(M$6&gt;='Workstreams'!$M22,M$6&lt;='Workstreams'!$N22),IF('Workstreams'!$R22="Accepted","Done","Plan"),""),"Inputs needed")</x:f>
      </x:c>
      <x:c r="N22" s="17" t="str">
        <x:f>IF(AND(ISNUMBER('Workstreams'!$M22),ISNUMBER('Workstreams'!$N22)),IF(AND(N$6&gt;='Workstreams'!$M22,N$6&lt;='Workstreams'!$N22),IF('Workstreams'!$R22="Accepted","Done","Plan"),""),"Inputs needed")</x:f>
      </x:c>
      <x:c r="O22" s="17" t="str">
        <x:f>IF(AND(ISNUMBER('Workstreams'!$M22),ISNUMBER('Workstreams'!$N22)),IF(AND(O$6&gt;='Workstreams'!$M22,O$6&lt;='Workstreams'!$N22),IF('Workstreams'!$R22="Accepted","Done","Plan"),""),"Inputs needed")</x:f>
      </x:c>
      <x:c r="P22" s="17" t="str">
        <x:f>IF(AND(ISNUMBER('Workstreams'!$M22),ISNUMBER('Workstreams'!$N22)),IF(AND(P$6&gt;='Workstreams'!$M22,P$6&lt;='Workstreams'!$N22),IF('Workstreams'!$R22="Accepted","Done","Plan"),""),"Inputs needed")</x:f>
      </x:c>
      <x:c r="Q22" s="17" t="str">
        <x:f>IF(AND(ISNUMBER('Workstreams'!$M22),ISNUMBER('Workstreams'!$N22)),IF(AND(Q$6&gt;='Workstreams'!$M22,Q$6&lt;='Workstreams'!$N22),IF('Workstreams'!$R22="Accepted","Done","Plan"),""),"Inputs needed")</x:f>
      </x:c>
      <x:c r="R22" s="17" t="str">
        <x:f>IF(AND(ISNUMBER('Workstreams'!$M22),ISNUMBER('Workstreams'!$N22)),IF(AND(R$6&gt;='Workstreams'!$M22,R$6&lt;='Workstreams'!$N22),IF('Workstreams'!$R22="Accepted","Done","Plan"),""),"Inputs needed")</x:f>
      </x:c>
      <x:c r="S22" s="17" t="str">
        <x:f>IF(AND(ISNUMBER('Workstreams'!$M22),ISNUMBER('Workstreams'!$N22)),IF(AND(S$6&gt;='Workstreams'!$M22,S$6&lt;='Workstreams'!$N22),IF('Workstreams'!$R22="Accepted","Done","Plan"),""),"Inputs needed")</x:f>
      </x:c>
      <x:c r="T22" s="17" t="str">
        <x:f>IF(AND(ISNUMBER('Workstreams'!$M22),ISNUMBER('Workstreams'!$N22)),IF(AND(T$6&gt;='Workstreams'!$M22,T$6&lt;='Workstreams'!$N22),IF('Workstreams'!$R22="Accepted","Done","Plan"),""),"Inputs needed")</x:f>
      </x:c>
      <x:c r="U22" s="17" t="str">
        <x:f>IF(AND(ISNUMBER('Workstreams'!$M22),ISNUMBER('Workstreams'!$N22)),IF(AND(U$6&gt;='Workstreams'!$M22,U$6&lt;='Workstreams'!$N22),IF('Workstreams'!$R22="Accepted","Done","Plan"),""),"Inputs needed")</x:f>
      </x:c>
      <x:c r="V22" s="17" t="str">
        <x:f>IF(AND(ISNUMBER('Workstreams'!$M22),ISNUMBER('Workstreams'!$N22)),IF(AND(V$6&gt;='Workstreams'!$M22,V$6&lt;='Workstreams'!$N22),IF('Workstreams'!$R22="Accepted","Done","Plan"),""),"Inputs needed")</x:f>
      </x:c>
      <x:c r="W22" s="17" t="str">
        <x:f>IF(AND(ISNUMBER('Workstreams'!$M22),ISNUMBER('Workstreams'!$N22)),IF(AND(W$6&gt;='Workstreams'!$M22,W$6&lt;='Workstreams'!$N22),IF('Workstreams'!$R22="Accepted","Done","Plan"),""),"Inputs needed")</x:f>
      </x:c>
      <x:c r="X22" s="17" t="str">
        <x:f>IF(AND(ISNUMBER('Workstreams'!$M22),ISNUMBER('Workstreams'!$N22)),IF(AND(X$6&gt;='Workstreams'!$M22,X$6&lt;='Workstreams'!$N22),IF('Workstreams'!$R22="Accepted","Done","Plan"),""),"Inputs needed")</x:f>
      </x:c>
      <x:c r="Y22" s="17" t="str">
        <x:f>IF(AND(ISNUMBER('Workstreams'!$M22),ISNUMBER('Workstreams'!$N22)),IF(AND(Y$6&gt;='Workstreams'!$M22,Y$6&lt;='Workstreams'!$N22),IF('Workstreams'!$R22="Accepted","Done","Plan"),""),"Inputs needed")</x:f>
      </x:c>
      <x:c r="Z22" s="17" t="str">
        <x:f>IF(AND(ISNUMBER('Workstreams'!$M22),ISNUMBER('Workstreams'!$N22)),IF(AND(Z$6&gt;='Workstreams'!$M22,Z$6&lt;='Workstreams'!$N22),IF('Workstreams'!$R22="Accepted","Done","Plan"),""),"Inputs needed")</x:f>
      </x:c>
      <x:c r="AA22" s="17" t="str">
        <x:f>IF(AND(ISNUMBER('Workstreams'!$M22),ISNUMBER('Workstreams'!$N22)),IF(AND(AA$6&gt;='Workstreams'!$M22,AA$6&lt;='Workstreams'!$N22),IF('Workstreams'!$R22="Accepted","Done","Plan"),""),"Inputs needed")</x:f>
        <x:v>Plan</x:v>
      </x:c>
      <x:c r="AB22" s="17" t="str">
        <x:f>IF(AND(ISNUMBER('Workstreams'!$M22),ISNUMBER('Workstreams'!$N22)),IF(AND(AB$6&gt;='Workstreams'!$M22,AB$6&lt;='Workstreams'!$N22),IF('Workstreams'!$R22="Accepted","Done","Plan"),""),"Inputs needed")</x:f>
        <x:v>Plan</x:v>
      </x:c>
      <x:c r="AC22" s="17" t="str">
        <x:f>IF(AND(ISNUMBER('Workstreams'!$M22),ISNUMBER('Workstreams'!$N22)),IF(AND(AC$6&gt;='Workstreams'!$M22,AC$6&lt;='Workstreams'!$N22),IF('Workstreams'!$R22="Accepted","Done","Plan"),""),"Inputs needed")</x:f>
      </x:c>
      <x:c r="AD22" s="17" t="str">
        <x:f>IF(AND(ISNUMBER('Workstreams'!$M22),ISNUMBER('Workstreams'!$N22)),IF(AND(AD$6&gt;='Workstreams'!$M22,AD$6&lt;='Workstreams'!$N22),IF('Workstreams'!$R22="Accepted","Done","Plan"),""),"Inputs needed")</x:f>
      </x:c>
      <x:c r="AE22" s="17" t="str">
        <x:f>IF(AND(ISNUMBER('Workstreams'!$M22),ISNUMBER('Workstreams'!$N22)),IF(AND(AE$6&gt;='Workstreams'!$M22,AE$6&lt;='Workstreams'!$N22),IF('Workstreams'!$R22="Accepted","Done","Plan"),""),"Inputs needed")</x:f>
      </x:c>
      <x:c r="AF22" s="17" t="str">
        <x:f>IF(AND(ISNUMBER('Workstreams'!$M22),ISNUMBER('Workstreams'!$N22)),IF(AND(AF$6&gt;='Workstreams'!$M22,AF$6&lt;='Workstreams'!$N22),IF('Workstreams'!$R22="Accepted","Done","Plan"),""),"Inputs needed")</x:f>
      </x:c>
      <x:c r="AG22" s="17" t="str">
        <x:f>IF(AND(ISNUMBER('Workstreams'!$M22),ISNUMBER('Workstreams'!$N22)),IF(AND(AG$6&gt;='Workstreams'!$M22,AG$6&lt;='Workstreams'!$N22),IF('Workstreams'!$R22="Accepted","Done","Plan"),""),"Inputs needed")</x:f>
      </x:c>
      <x:c r="AH22" s="17" t="str">
        <x:f>IF(AND(ISNUMBER('Workstreams'!$M22),ISNUMBER('Workstreams'!$N22)),IF(AND(AH$6&gt;='Workstreams'!$M22,AH$6&lt;='Workstreams'!$N22),IF('Workstreams'!$R22="Accepted","Done","Plan"),""),"Inputs needed")</x:f>
      </x:c>
      <x:c r="AI22" s="17" t="str">
        <x:f>IF(AND(ISNUMBER('Workstreams'!$M22),ISNUMBER('Workstreams'!$N22)),IF(AND(AI$6&gt;='Workstreams'!$M22,AI$6&lt;='Workstreams'!$N22),IF('Workstreams'!$R22="Accepted","Done","Plan"),""),"Inputs needed")</x:f>
      </x:c>
      <x:c r="AJ22" s="17" t="str">
        <x:f>IF(AND(ISNUMBER('Workstreams'!$M22),ISNUMBER('Workstreams'!$N22)),IF(AND(AJ$6&gt;='Workstreams'!$M22,AJ$6&lt;='Workstreams'!$N22),IF('Workstreams'!$R22="Accepted","Done","Plan"),""),"Inputs needed")</x:f>
      </x:c>
      <x:c r="AK22" s="17" t="str">
        <x:f>IF(AND(ISNUMBER('Workstreams'!$M22),ISNUMBER('Workstreams'!$N22)),IF(AND(AK$6&gt;='Workstreams'!$M22,AK$6&lt;='Workstreams'!$N22),IF('Workstreams'!$R22="Accepted","Done","Plan"),""),"Inputs needed")</x:f>
      </x:c>
      <x:c r="AL22" s="17" t="str">
        <x:f>IF(AND(ISNUMBER('Workstreams'!$M22),ISNUMBER('Workstreams'!$N22)),IF(AND(AL$6&gt;='Workstreams'!$M22,AL$6&lt;='Workstreams'!$N22),IF('Workstreams'!$R22="Accepted","Done","Plan"),""),"Inputs needed")</x:f>
      </x:c>
      <x:c r="AM22" s="17" t="str">
        <x:f>IF(AND(ISNUMBER('Workstreams'!$M22),ISNUMBER('Workstreams'!$N22)),IF(AND(AM$6&gt;='Workstreams'!$M22,AM$6&lt;='Workstreams'!$N22),IF('Workstreams'!$R22="Accepted","Done","Plan"),""),"Inputs needed")</x:f>
      </x:c>
      <x:c r="AN22" s="17" t="str">
        <x:f>IF(AND(ISNUMBER('Workstreams'!$M22),ISNUMBER('Workstreams'!$N22)),IF(AND(AN$6&gt;='Workstreams'!$M22,AN$6&lt;='Workstreams'!$N22),IF('Workstreams'!$R22="Accepted","Done","Plan"),""),"Inputs needed")</x:f>
      </x:c>
      <x:c r="AO22" s="17" t="str">
        <x:f>IF(AND(ISNUMBER('Workstreams'!$M22),ISNUMBER('Workstreams'!$N22)),IF(AND(AO$6&gt;='Workstreams'!$M22,AO$6&lt;='Workstreams'!$N22),IF('Workstreams'!$R22="Accepted","Done","Plan"),""),"Inputs needed")</x:f>
      </x:c>
      <x:c r="AP22" s="17" t="str">
        <x:f>IF(AND(ISNUMBER('Workstreams'!$M22),ISNUMBER('Workstreams'!$N22)),IF(AND(AP$6&gt;='Workstreams'!$M22,AP$6&lt;='Workstreams'!$N22),IF('Workstreams'!$R22="Accepted","Done","Plan"),""),"Inputs needed")</x:f>
      </x:c>
      <x:c r="AQ22" s="17" t="str">
        <x:f>IF(AND(ISNUMBER('Workstreams'!$M22),ISNUMBER('Workstreams'!$N22)),IF(AND(AQ$6&gt;='Workstreams'!$M22,AQ$6&lt;='Workstreams'!$N22),IF('Workstreams'!$R22="Accepted","Done","Plan"),""),"Inputs needed")</x:f>
      </x:c>
      <x:c r="AR22" s="17" t="str">
        <x:f>IF(AND(ISNUMBER('Workstreams'!$M22),ISNUMBER('Workstreams'!$N22)),IF(AND(AR$6&gt;='Workstreams'!$M22,AR$6&lt;='Workstreams'!$N22),IF('Workstreams'!$R22="Accepted","Done","Plan"),""),"Inputs needed")</x:f>
      </x:c>
      <x:c r="AS22" s="17" t="str">
        <x:f>IF(AND(ISNUMBER('Workstreams'!$M22),ISNUMBER('Workstreams'!$N22)),IF(AND(AS$6&gt;='Workstreams'!$M22,AS$6&lt;='Workstreams'!$N22),IF('Workstreams'!$R22="Accepted","Done","Plan"),""),"Inputs needed")</x:f>
      </x:c>
      <x:c r="AT22" s="17" t="str">
        <x:f>IF(AND(ISNUMBER('Workstreams'!$M22),ISNUMBER('Workstreams'!$N22)),IF(AND(AT$6&gt;='Workstreams'!$M22,AT$6&lt;='Workstreams'!$N22),IF('Workstreams'!$R22="Accepted","Done","Plan"),""),"Inputs needed")</x:f>
      </x:c>
      <x:c r="AU22" s="17" t="str">
        <x:f>IF(AND(ISNUMBER('Workstreams'!$M22),ISNUMBER('Workstreams'!$N22)),IF(AND(AU$6&gt;='Workstreams'!$M22,AU$6&lt;='Workstreams'!$N22),IF('Workstreams'!$R22="Accepted","Done","Plan"),""),"Inputs needed")</x:f>
      </x:c>
      <x:c r="AV22" s="17" t="str">
        <x:f>IF(AND(ISNUMBER('Workstreams'!$M22),ISNUMBER('Workstreams'!$N22)),IF(AND(AV$6&gt;='Workstreams'!$M22,AV$6&lt;='Workstreams'!$N22),IF('Workstreams'!$R22="Accepted","Done","Plan"),""),"Inputs needed")</x:f>
      </x:c>
      <x:c r="AW22" s="17" t="str">
        <x:f>IF(AND(ISNUMBER('Workstreams'!$M22),ISNUMBER('Workstreams'!$N22)),IF(AND(AW$6&gt;='Workstreams'!$M22,AW$6&lt;='Workstreams'!$N22),IF('Workstreams'!$R22="Accepted","Done","Plan"),""),"Inputs needed")</x:f>
      </x:c>
      <x:c r="AX22" s="17" t="str">
        <x:f>IF(AND(ISNUMBER('Workstreams'!$M22),ISNUMBER('Workstreams'!$N22)),IF(AND(AX$6&gt;='Workstreams'!$M22,AX$6&lt;='Workstreams'!$N22),IF('Workstreams'!$R22="Accepted","Done","Plan"),""),"Inputs needed")</x:f>
      </x:c>
      <x:c r="AY22" s="17" t="str">
        <x:f>IF(AND(ISNUMBER('Workstreams'!$M22),ISNUMBER('Workstreams'!$N22)),IF(AND(AY$6&gt;='Workstreams'!$M22,AY$6&lt;='Workstreams'!$N22),IF('Workstreams'!$R22="Accepted","Done","Plan"),""),"Inputs needed")</x:f>
      </x:c>
      <x:c r="AZ22" s="17" t="str">
        <x:f>IF(AND(ISNUMBER('Workstreams'!$M22),ISNUMBER('Workstreams'!$N22)),IF(AND(AZ$6&gt;='Workstreams'!$M22,AZ$6&lt;='Workstreams'!$N22),IF('Workstreams'!$R22="Accepted","Done","Plan"),""),"Inputs needed")</x:f>
      </x:c>
      <x:c r="BA22" s="17" t="str">
        <x:f>IF(AND(ISNUMBER('Workstreams'!$M22),ISNUMBER('Workstreams'!$N22)),IF(AND(BA$6&gt;='Workstreams'!$M22,BA$6&lt;='Workstreams'!$N22),IF('Workstreams'!$R22="Accepted","Done","Plan"),""),"Inputs needed")</x:f>
      </x:c>
      <x:c r="BB22" s="17" t="str">
        <x:f>IF(AND(ISNUMBER('Workstreams'!$M22),ISNUMBER('Workstreams'!$N22)),IF(AND(BB$6&gt;='Workstreams'!$M22,BB$6&lt;='Workstreams'!$N22),IF('Workstreams'!$R22="Accepted","Done","Plan"),""),"Inputs needed")</x:f>
      </x:c>
      <x:c r="BC22" s="17" t="str">
        <x:f>IF(AND(ISNUMBER('Workstreams'!$M22),ISNUMBER('Workstreams'!$N22)),IF(AND(BC$6&gt;='Workstreams'!$M22,BC$6&lt;='Workstreams'!$N22),IF('Workstreams'!$R22="Accepted","Done","Plan"),""),"Inputs needed")</x:f>
      </x:c>
      <x:c r="BD22" s="17" t="str">
        <x:f>IF(AND(ISNUMBER('Workstreams'!$M22),ISNUMBER('Workstreams'!$N22)),IF(AND(BD$6&gt;='Workstreams'!$M22,BD$6&lt;='Workstreams'!$N22),IF('Workstreams'!$R22="Accepted","Done","Plan"),""),"Inputs needed")</x:f>
      </x:c>
    </x:row>
    <x:row r="23" ht="48" customHeight="1">
      <x:c r="A23" s="8" t="str">
        <x:f>'Workstreams'!A23</x:f>
        <x:v>W17</x:v>
      </x:c>
      <x:c r="B23" s="8" t="str">
        <x:f>'Workstreams'!B23</x:f>
        <x:v>Public onboarding, support and commercial launch checks</x:v>
      </x:c>
      <x:c r="C23" s="8" t="str">
        <x:f>'Workstreams'!D23</x:f>
        <x:v>Lee + Replit/Codex</x:v>
      </x:c>
      <x:c r="D23" s="8" t="str">
        <x:f>'Workstreams'!R23</x:f>
        <x:v>Awaiting approval</x:v>
      </x:c>
      <x:c r="E23" s="17" t="str">
        <x:f>IF(AND(ISNUMBER('Workstreams'!$M23),ISNUMBER('Workstreams'!$N23)),IF(AND(E$6&gt;='Workstreams'!$M23,E$6&lt;='Workstreams'!$N23),IF('Workstreams'!$R23="Accepted","Done","Plan"),""),"Inputs needed")</x:f>
      </x:c>
      <x:c r="F23" s="17" t="str">
        <x:f>IF(AND(ISNUMBER('Workstreams'!$M23),ISNUMBER('Workstreams'!$N23)),IF(AND(F$6&gt;='Workstreams'!$M23,F$6&lt;='Workstreams'!$N23),IF('Workstreams'!$R23="Accepted","Done","Plan"),""),"Inputs needed")</x:f>
      </x:c>
      <x:c r="G23" s="17" t="str">
        <x:f>IF(AND(ISNUMBER('Workstreams'!$M23),ISNUMBER('Workstreams'!$N23)),IF(AND(G$6&gt;='Workstreams'!$M23,G$6&lt;='Workstreams'!$N23),IF('Workstreams'!$R23="Accepted","Done","Plan"),""),"Inputs needed")</x:f>
      </x:c>
      <x:c r="H23" s="17" t="str">
        <x:f>IF(AND(ISNUMBER('Workstreams'!$M23),ISNUMBER('Workstreams'!$N23)),IF(AND(H$6&gt;='Workstreams'!$M23,H$6&lt;='Workstreams'!$N23),IF('Workstreams'!$R23="Accepted","Done","Plan"),""),"Inputs needed")</x:f>
      </x:c>
      <x:c r="I23" s="17" t="str">
        <x:f>IF(AND(ISNUMBER('Workstreams'!$M23),ISNUMBER('Workstreams'!$N23)),IF(AND(I$6&gt;='Workstreams'!$M23,I$6&lt;='Workstreams'!$N23),IF('Workstreams'!$R23="Accepted","Done","Plan"),""),"Inputs needed")</x:f>
      </x:c>
      <x:c r="J23" s="17" t="str">
        <x:f>IF(AND(ISNUMBER('Workstreams'!$M23),ISNUMBER('Workstreams'!$N23)),IF(AND(J$6&gt;='Workstreams'!$M23,J$6&lt;='Workstreams'!$N23),IF('Workstreams'!$R23="Accepted","Done","Plan"),""),"Inputs needed")</x:f>
      </x:c>
      <x:c r="K23" s="17" t="str">
        <x:f>IF(AND(ISNUMBER('Workstreams'!$M23),ISNUMBER('Workstreams'!$N23)),IF(AND(K$6&gt;='Workstreams'!$M23,K$6&lt;='Workstreams'!$N23),IF('Workstreams'!$R23="Accepted","Done","Plan"),""),"Inputs needed")</x:f>
      </x:c>
      <x:c r="L23" s="17" t="str">
        <x:f>IF(AND(ISNUMBER('Workstreams'!$M23),ISNUMBER('Workstreams'!$N23)),IF(AND(L$6&gt;='Workstreams'!$M23,L$6&lt;='Workstreams'!$N23),IF('Workstreams'!$R23="Accepted","Done","Plan"),""),"Inputs needed")</x:f>
      </x:c>
      <x:c r="M23" s="17" t="str">
        <x:f>IF(AND(ISNUMBER('Workstreams'!$M23),ISNUMBER('Workstreams'!$N23)),IF(AND(M$6&gt;='Workstreams'!$M23,M$6&lt;='Workstreams'!$N23),IF('Workstreams'!$R23="Accepted","Done","Plan"),""),"Inputs needed")</x:f>
      </x:c>
      <x:c r="N23" s="17" t="str">
        <x:f>IF(AND(ISNUMBER('Workstreams'!$M23),ISNUMBER('Workstreams'!$N23)),IF(AND(N$6&gt;='Workstreams'!$M23,N$6&lt;='Workstreams'!$N23),IF('Workstreams'!$R23="Accepted","Done","Plan"),""),"Inputs needed")</x:f>
      </x:c>
      <x:c r="O23" s="17" t="str">
        <x:f>IF(AND(ISNUMBER('Workstreams'!$M23),ISNUMBER('Workstreams'!$N23)),IF(AND(O$6&gt;='Workstreams'!$M23,O$6&lt;='Workstreams'!$N23),IF('Workstreams'!$R23="Accepted","Done","Plan"),""),"Inputs needed")</x:f>
      </x:c>
      <x:c r="P23" s="17" t="str">
        <x:f>IF(AND(ISNUMBER('Workstreams'!$M23),ISNUMBER('Workstreams'!$N23)),IF(AND(P$6&gt;='Workstreams'!$M23,P$6&lt;='Workstreams'!$N23),IF('Workstreams'!$R23="Accepted","Done","Plan"),""),"Inputs needed")</x:f>
      </x:c>
      <x:c r="Q23" s="17" t="str">
        <x:f>IF(AND(ISNUMBER('Workstreams'!$M23),ISNUMBER('Workstreams'!$N23)),IF(AND(Q$6&gt;='Workstreams'!$M23,Q$6&lt;='Workstreams'!$N23),IF('Workstreams'!$R23="Accepted","Done","Plan"),""),"Inputs needed")</x:f>
      </x:c>
      <x:c r="R23" s="17" t="str">
        <x:f>IF(AND(ISNUMBER('Workstreams'!$M23),ISNUMBER('Workstreams'!$N23)),IF(AND(R$6&gt;='Workstreams'!$M23,R$6&lt;='Workstreams'!$N23),IF('Workstreams'!$R23="Accepted","Done","Plan"),""),"Inputs needed")</x:f>
      </x:c>
      <x:c r="S23" s="17" t="str">
        <x:f>IF(AND(ISNUMBER('Workstreams'!$M23),ISNUMBER('Workstreams'!$N23)),IF(AND(S$6&gt;='Workstreams'!$M23,S$6&lt;='Workstreams'!$N23),IF('Workstreams'!$R23="Accepted","Done","Plan"),""),"Inputs needed")</x:f>
      </x:c>
      <x:c r="T23" s="17" t="str">
        <x:f>IF(AND(ISNUMBER('Workstreams'!$M23),ISNUMBER('Workstreams'!$N23)),IF(AND(T$6&gt;='Workstreams'!$M23,T$6&lt;='Workstreams'!$N23),IF('Workstreams'!$R23="Accepted","Done","Plan"),""),"Inputs needed")</x:f>
      </x:c>
      <x:c r="U23" s="17" t="str">
        <x:f>IF(AND(ISNUMBER('Workstreams'!$M23),ISNUMBER('Workstreams'!$N23)),IF(AND(U$6&gt;='Workstreams'!$M23,U$6&lt;='Workstreams'!$N23),IF('Workstreams'!$R23="Accepted","Done","Plan"),""),"Inputs needed")</x:f>
      </x:c>
      <x:c r="V23" s="17" t="str">
        <x:f>IF(AND(ISNUMBER('Workstreams'!$M23),ISNUMBER('Workstreams'!$N23)),IF(AND(V$6&gt;='Workstreams'!$M23,V$6&lt;='Workstreams'!$N23),IF('Workstreams'!$R23="Accepted","Done","Plan"),""),"Inputs needed")</x:f>
      </x:c>
      <x:c r="W23" s="17" t="str">
        <x:f>IF(AND(ISNUMBER('Workstreams'!$M23),ISNUMBER('Workstreams'!$N23)),IF(AND(W$6&gt;='Workstreams'!$M23,W$6&lt;='Workstreams'!$N23),IF('Workstreams'!$R23="Accepted","Done","Plan"),""),"Inputs needed")</x:f>
      </x:c>
      <x:c r="X23" s="17" t="str">
        <x:f>IF(AND(ISNUMBER('Workstreams'!$M23),ISNUMBER('Workstreams'!$N23)),IF(AND(X$6&gt;='Workstreams'!$M23,X$6&lt;='Workstreams'!$N23),IF('Workstreams'!$R23="Accepted","Done","Plan"),""),"Inputs needed")</x:f>
      </x:c>
      <x:c r="Y23" s="17" t="str">
        <x:f>IF(AND(ISNUMBER('Workstreams'!$M23),ISNUMBER('Workstreams'!$N23)),IF(AND(Y$6&gt;='Workstreams'!$M23,Y$6&lt;='Workstreams'!$N23),IF('Workstreams'!$R23="Accepted","Done","Plan"),""),"Inputs needed")</x:f>
      </x:c>
      <x:c r="Z23" s="17" t="str">
        <x:f>IF(AND(ISNUMBER('Workstreams'!$M23),ISNUMBER('Workstreams'!$N23)),IF(AND(Z$6&gt;='Workstreams'!$M23,Z$6&lt;='Workstreams'!$N23),IF('Workstreams'!$R23="Accepted","Done","Plan"),""),"Inputs needed")</x:f>
      </x:c>
      <x:c r="AA23" s="17" t="str">
        <x:f>IF(AND(ISNUMBER('Workstreams'!$M23),ISNUMBER('Workstreams'!$N23)),IF(AND(AA$6&gt;='Workstreams'!$M23,AA$6&lt;='Workstreams'!$N23),IF('Workstreams'!$R23="Accepted","Done","Plan"),""),"Inputs needed")</x:f>
      </x:c>
      <x:c r="AB23" s="17" t="str">
        <x:f>IF(AND(ISNUMBER('Workstreams'!$M23),ISNUMBER('Workstreams'!$N23)),IF(AND(AB$6&gt;='Workstreams'!$M23,AB$6&lt;='Workstreams'!$N23),IF('Workstreams'!$R23="Accepted","Done","Plan"),""),"Inputs needed")</x:f>
        <x:v>Plan</x:v>
      </x:c>
      <x:c r="AC23" s="17" t="str">
        <x:f>IF(AND(ISNUMBER('Workstreams'!$M23),ISNUMBER('Workstreams'!$N23)),IF(AND(AC$6&gt;='Workstreams'!$M23,AC$6&lt;='Workstreams'!$N23),IF('Workstreams'!$R23="Accepted","Done","Plan"),""),"Inputs needed")</x:f>
        <x:v>Plan</x:v>
      </x:c>
      <x:c r="AD23" s="17" t="str">
        <x:f>IF(AND(ISNUMBER('Workstreams'!$M23),ISNUMBER('Workstreams'!$N23)),IF(AND(AD$6&gt;='Workstreams'!$M23,AD$6&lt;='Workstreams'!$N23),IF('Workstreams'!$R23="Accepted","Done","Plan"),""),"Inputs needed")</x:f>
      </x:c>
      <x:c r="AE23" s="17" t="str">
        <x:f>IF(AND(ISNUMBER('Workstreams'!$M23),ISNUMBER('Workstreams'!$N23)),IF(AND(AE$6&gt;='Workstreams'!$M23,AE$6&lt;='Workstreams'!$N23),IF('Workstreams'!$R23="Accepted","Done","Plan"),""),"Inputs needed")</x:f>
      </x:c>
      <x:c r="AF23" s="17" t="str">
        <x:f>IF(AND(ISNUMBER('Workstreams'!$M23),ISNUMBER('Workstreams'!$N23)),IF(AND(AF$6&gt;='Workstreams'!$M23,AF$6&lt;='Workstreams'!$N23),IF('Workstreams'!$R23="Accepted","Done","Plan"),""),"Inputs needed")</x:f>
      </x:c>
      <x:c r="AG23" s="17" t="str">
        <x:f>IF(AND(ISNUMBER('Workstreams'!$M23),ISNUMBER('Workstreams'!$N23)),IF(AND(AG$6&gt;='Workstreams'!$M23,AG$6&lt;='Workstreams'!$N23),IF('Workstreams'!$R23="Accepted","Done","Plan"),""),"Inputs needed")</x:f>
      </x:c>
      <x:c r="AH23" s="17" t="str">
        <x:f>IF(AND(ISNUMBER('Workstreams'!$M23),ISNUMBER('Workstreams'!$N23)),IF(AND(AH$6&gt;='Workstreams'!$M23,AH$6&lt;='Workstreams'!$N23),IF('Workstreams'!$R23="Accepted","Done","Plan"),""),"Inputs needed")</x:f>
      </x:c>
      <x:c r="AI23" s="17" t="str">
        <x:f>IF(AND(ISNUMBER('Workstreams'!$M23),ISNUMBER('Workstreams'!$N23)),IF(AND(AI$6&gt;='Workstreams'!$M23,AI$6&lt;='Workstreams'!$N23),IF('Workstreams'!$R23="Accepted","Done","Plan"),""),"Inputs needed")</x:f>
      </x:c>
      <x:c r="AJ23" s="17" t="str">
        <x:f>IF(AND(ISNUMBER('Workstreams'!$M23),ISNUMBER('Workstreams'!$N23)),IF(AND(AJ$6&gt;='Workstreams'!$M23,AJ$6&lt;='Workstreams'!$N23),IF('Workstreams'!$R23="Accepted","Done","Plan"),""),"Inputs needed")</x:f>
      </x:c>
      <x:c r="AK23" s="17" t="str">
        <x:f>IF(AND(ISNUMBER('Workstreams'!$M23),ISNUMBER('Workstreams'!$N23)),IF(AND(AK$6&gt;='Workstreams'!$M23,AK$6&lt;='Workstreams'!$N23),IF('Workstreams'!$R23="Accepted","Done","Plan"),""),"Inputs needed")</x:f>
      </x:c>
      <x:c r="AL23" s="17" t="str">
        <x:f>IF(AND(ISNUMBER('Workstreams'!$M23),ISNUMBER('Workstreams'!$N23)),IF(AND(AL$6&gt;='Workstreams'!$M23,AL$6&lt;='Workstreams'!$N23),IF('Workstreams'!$R23="Accepted","Done","Plan"),""),"Inputs needed")</x:f>
      </x:c>
      <x:c r="AM23" s="17" t="str">
        <x:f>IF(AND(ISNUMBER('Workstreams'!$M23),ISNUMBER('Workstreams'!$N23)),IF(AND(AM$6&gt;='Workstreams'!$M23,AM$6&lt;='Workstreams'!$N23),IF('Workstreams'!$R23="Accepted","Done","Plan"),""),"Inputs needed")</x:f>
      </x:c>
      <x:c r="AN23" s="17" t="str">
        <x:f>IF(AND(ISNUMBER('Workstreams'!$M23),ISNUMBER('Workstreams'!$N23)),IF(AND(AN$6&gt;='Workstreams'!$M23,AN$6&lt;='Workstreams'!$N23),IF('Workstreams'!$R23="Accepted","Done","Plan"),""),"Inputs needed")</x:f>
      </x:c>
      <x:c r="AO23" s="17" t="str">
        <x:f>IF(AND(ISNUMBER('Workstreams'!$M23),ISNUMBER('Workstreams'!$N23)),IF(AND(AO$6&gt;='Workstreams'!$M23,AO$6&lt;='Workstreams'!$N23),IF('Workstreams'!$R23="Accepted","Done","Plan"),""),"Inputs needed")</x:f>
      </x:c>
      <x:c r="AP23" s="17" t="str">
        <x:f>IF(AND(ISNUMBER('Workstreams'!$M23),ISNUMBER('Workstreams'!$N23)),IF(AND(AP$6&gt;='Workstreams'!$M23,AP$6&lt;='Workstreams'!$N23),IF('Workstreams'!$R23="Accepted","Done","Plan"),""),"Inputs needed")</x:f>
      </x:c>
      <x:c r="AQ23" s="17" t="str">
        <x:f>IF(AND(ISNUMBER('Workstreams'!$M23),ISNUMBER('Workstreams'!$N23)),IF(AND(AQ$6&gt;='Workstreams'!$M23,AQ$6&lt;='Workstreams'!$N23),IF('Workstreams'!$R23="Accepted","Done","Plan"),""),"Inputs needed")</x:f>
      </x:c>
      <x:c r="AR23" s="17" t="str">
        <x:f>IF(AND(ISNUMBER('Workstreams'!$M23),ISNUMBER('Workstreams'!$N23)),IF(AND(AR$6&gt;='Workstreams'!$M23,AR$6&lt;='Workstreams'!$N23),IF('Workstreams'!$R23="Accepted","Done","Plan"),""),"Inputs needed")</x:f>
      </x:c>
      <x:c r="AS23" s="17" t="str">
        <x:f>IF(AND(ISNUMBER('Workstreams'!$M23),ISNUMBER('Workstreams'!$N23)),IF(AND(AS$6&gt;='Workstreams'!$M23,AS$6&lt;='Workstreams'!$N23),IF('Workstreams'!$R23="Accepted","Done","Plan"),""),"Inputs needed")</x:f>
      </x:c>
      <x:c r="AT23" s="17" t="str">
        <x:f>IF(AND(ISNUMBER('Workstreams'!$M23),ISNUMBER('Workstreams'!$N23)),IF(AND(AT$6&gt;='Workstreams'!$M23,AT$6&lt;='Workstreams'!$N23),IF('Workstreams'!$R23="Accepted","Done","Plan"),""),"Inputs needed")</x:f>
      </x:c>
      <x:c r="AU23" s="17" t="str">
        <x:f>IF(AND(ISNUMBER('Workstreams'!$M23),ISNUMBER('Workstreams'!$N23)),IF(AND(AU$6&gt;='Workstreams'!$M23,AU$6&lt;='Workstreams'!$N23),IF('Workstreams'!$R23="Accepted","Done","Plan"),""),"Inputs needed")</x:f>
      </x:c>
      <x:c r="AV23" s="17" t="str">
        <x:f>IF(AND(ISNUMBER('Workstreams'!$M23),ISNUMBER('Workstreams'!$N23)),IF(AND(AV$6&gt;='Workstreams'!$M23,AV$6&lt;='Workstreams'!$N23),IF('Workstreams'!$R23="Accepted","Done","Plan"),""),"Inputs needed")</x:f>
      </x:c>
      <x:c r="AW23" s="17" t="str">
        <x:f>IF(AND(ISNUMBER('Workstreams'!$M23),ISNUMBER('Workstreams'!$N23)),IF(AND(AW$6&gt;='Workstreams'!$M23,AW$6&lt;='Workstreams'!$N23),IF('Workstreams'!$R23="Accepted","Done","Plan"),""),"Inputs needed")</x:f>
      </x:c>
      <x:c r="AX23" s="17" t="str">
        <x:f>IF(AND(ISNUMBER('Workstreams'!$M23),ISNUMBER('Workstreams'!$N23)),IF(AND(AX$6&gt;='Workstreams'!$M23,AX$6&lt;='Workstreams'!$N23),IF('Workstreams'!$R23="Accepted","Done","Plan"),""),"Inputs needed")</x:f>
      </x:c>
      <x:c r="AY23" s="17" t="str">
        <x:f>IF(AND(ISNUMBER('Workstreams'!$M23),ISNUMBER('Workstreams'!$N23)),IF(AND(AY$6&gt;='Workstreams'!$M23,AY$6&lt;='Workstreams'!$N23),IF('Workstreams'!$R23="Accepted","Done","Plan"),""),"Inputs needed")</x:f>
      </x:c>
      <x:c r="AZ23" s="17" t="str">
        <x:f>IF(AND(ISNUMBER('Workstreams'!$M23),ISNUMBER('Workstreams'!$N23)),IF(AND(AZ$6&gt;='Workstreams'!$M23,AZ$6&lt;='Workstreams'!$N23),IF('Workstreams'!$R23="Accepted","Done","Plan"),""),"Inputs needed")</x:f>
      </x:c>
      <x:c r="BA23" s="17" t="str">
        <x:f>IF(AND(ISNUMBER('Workstreams'!$M23),ISNUMBER('Workstreams'!$N23)),IF(AND(BA$6&gt;='Workstreams'!$M23,BA$6&lt;='Workstreams'!$N23),IF('Workstreams'!$R23="Accepted","Done","Plan"),""),"Inputs needed")</x:f>
      </x:c>
      <x:c r="BB23" s="17" t="str">
        <x:f>IF(AND(ISNUMBER('Workstreams'!$M23),ISNUMBER('Workstreams'!$N23)),IF(AND(BB$6&gt;='Workstreams'!$M23,BB$6&lt;='Workstreams'!$N23),IF('Workstreams'!$R23="Accepted","Done","Plan"),""),"Inputs needed")</x:f>
      </x:c>
      <x:c r="BC23" s="17" t="str">
        <x:f>IF(AND(ISNUMBER('Workstreams'!$M23),ISNUMBER('Workstreams'!$N23)),IF(AND(BC$6&gt;='Workstreams'!$M23,BC$6&lt;='Workstreams'!$N23),IF('Workstreams'!$R23="Accepted","Done","Plan"),""),"Inputs needed")</x:f>
      </x:c>
      <x:c r="BD23" s="17" t="str">
        <x:f>IF(AND(ISNUMBER('Workstreams'!$M23),ISNUMBER('Workstreams'!$N23)),IF(AND(BD$6&gt;='Workstreams'!$M23,BD$6&lt;='Workstreams'!$N23),IF('Workstreams'!$R23="Accepted","Done","Plan"),""),"Inputs needed")</x:f>
      </x:c>
    </x:row>
    <x:row r="24" ht="48" customHeight="1">
      <x:c r="A24" s="8" t="str">
        <x:f>'Workstreams'!A24</x:f>
        <x:v>W18</x:v>
      </x:c>
      <x:c r="B24" s="8" t="str">
        <x:f>'Workstreams'!B24</x:f>
        <x:v>Public release acceptance</x:v>
      </x:c>
      <x:c r="C24" s="8" t="str">
        <x:f>'Workstreams'!D24</x:f>
        <x:v>Lee + release reviewers TBD</x:v>
      </x:c>
      <x:c r="D24" s="8" t="str">
        <x:f>'Workstreams'!R24</x:f>
        <x:v>Awaiting approval</x:v>
      </x:c>
      <x:c r="E24" s="17" t="str">
        <x:f>IF(AND(ISNUMBER('Workstreams'!$M24),ISNUMBER('Workstreams'!$N24)),IF(AND(E$6&gt;='Workstreams'!$M24,E$6&lt;='Workstreams'!$N24),IF('Workstreams'!$R24="Accepted","Done","Plan"),""),"Inputs needed")</x:f>
      </x:c>
      <x:c r="F24" s="17" t="str">
        <x:f>IF(AND(ISNUMBER('Workstreams'!$M24),ISNUMBER('Workstreams'!$N24)),IF(AND(F$6&gt;='Workstreams'!$M24,F$6&lt;='Workstreams'!$N24),IF('Workstreams'!$R24="Accepted","Done","Plan"),""),"Inputs needed")</x:f>
      </x:c>
      <x:c r="G24" s="17" t="str">
        <x:f>IF(AND(ISNUMBER('Workstreams'!$M24),ISNUMBER('Workstreams'!$N24)),IF(AND(G$6&gt;='Workstreams'!$M24,G$6&lt;='Workstreams'!$N24),IF('Workstreams'!$R24="Accepted","Done","Plan"),""),"Inputs needed")</x:f>
      </x:c>
      <x:c r="H24" s="17" t="str">
        <x:f>IF(AND(ISNUMBER('Workstreams'!$M24),ISNUMBER('Workstreams'!$N24)),IF(AND(H$6&gt;='Workstreams'!$M24,H$6&lt;='Workstreams'!$N24),IF('Workstreams'!$R24="Accepted","Done","Plan"),""),"Inputs needed")</x:f>
      </x:c>
      <x:c r="I24" s="17" t="str">
        <x:f>IF(AND(ISNUMBER('Workstreams'!$M24),ISNUMBER('Workstreams'!$N24)),IF(AND(I$6&gt;='Workstreams'!$M24,I$6&lt;='Workstreams'!$N24),IF('Workstreams'!$R24="Accepted","Done","Plan"),""),"Inputs needed")</x:f>
      </x:c>
      <x:c r="J24" s="17" t="str">
        <x:f>IF(AND(ISNUMBER('Workstreams'!$M24),ISNUMBER('Workstreams'!$N24)),IF(AND(J$6&gt;='Workstreams'!$M24,J$6&lt;='Workstreams'!$N24),IF('Workstreams'!$R24="Accepted","Done","Plan"),""),"Inputs needed")</x:f>
      </x:c>
      <x:c r="K24" s="17" t="str">
        <x:f>IF(AND(ISNUMBER('Workstreams'!$M24),ISNUMBER('Workstreams'!$N24)),IF(AND(K$6&gt;='Workstreams'!$M24,K$6&lt;='Workstreams'!$N24),IF('Workstreams'!$R24="Accepted","Done","Plan"),""),"Inputs needed")</x:f>
      </x:c>
      <x:c r="L24" s="17" t="str">
        <x:f>IF(AND(ISNUMBER('Workstreams'!$M24),ISNUMBER('Workstreams'!$N24)),IF(AND(L$6&gt;='Workstreams'!$M24,L$6&lt;='Workstreams'!$N24),IF('Workstreams'!$R24="Accepted","Done","Plan"),""),"Inputs needed")</x:f>
      </x:c>
      <x:c r="M24" s="17" t="str">
        <x:f>IF(AND(ISNUMBER('Workstreams'!$M24),ISNUMBER('Workstreams'!$N24)),IF(AND(M$6&gt;='Workstreams'!$M24,M$6&lt;='Workstreams'!$N24),IF('Workstreams'!$R24="Accepted","Done","Plan"),""),"Inputs needed")</x:f>
      </x:c>
      <x:c r="N24" s="17" t="str">
        <x:f>IF(AND(ISNUMBER('Workstreams'!$M24),ISNUMBER('Workstreams'!$N24)),IF(AND(N$6&gt;='Workstreams'!$M24,N$6&lt;='Workstreams'!$N24),IF('Workstreams'!$R24="Accepted","Done","Plan"),""),"Inputs needed")</x:f>
      </x:c>
      <x:c r="O24" s="17" t="str">
        <x:f>IF(AND(ISNUMBER('Workstreams'!$M24),ISNUMBER('Workstreams'!$N24)),IF(AND(O$6&gt;='Workstreams'!$M24,O$6&lt;='Workstreams'!$N24),IF('Workstreams'!$R24="Accepted","Done","Plan"),""),"Inputs needed")</x:f>
      </x:c>
      <x:c r="P24" s="17" t="str">
        <x:f>IF(AND(ISNUMBER('Workstreams'!$M24),ISNUMBER('Workstreams'!$N24)),IF(AND(P$6&gt;='Workstreams'!$M24,P$6&lt;='Workstreams'!$N24),IF('Workstreams'!$R24="Accepted","Done","Plan"),""),"Inputs needed")</x:f>
      </x:c>
      <x:c r="Q24" s="17" t="str">
        <x:f>IF(AND(ISNUMBER('Workstreams'!$M24),ISNUMBER('Workstreams'!$N24)),IF(AND(Q$6&gt;='Workstreams'!$M24,Q$6&lt;='Workstreams'!$N24),IF('Workstreams'!$R24="Accepted","Done","Plan"),""),"Inputs needed")</x:f>
      </x:c>
      <x:c r="R24" s="17" t="str">
        <x:f>IF(AND(ISNUMBER('Workstreams'!$M24),ISNUMBER('Workstreams'!$N24)),IF(AND(R$6&gt;='Workstreams'!$M24,R$6&lt;='Workstreams'!$N24),IF('Workstreams'!$R24="Accepted","Done","Plan"),""),"Inputs needed")</x:f>
      </x:c>
      <x:c r="S24" s="17" t="str">
        <x:f>IF(AND(ISNUMBER('Workstreams'!$M24),ISNUMBER('Workstreams'!$N24)),IF(AND(S$6&gt;='Workstreams'!$M24,S$6&lt;='Workstreams'!$N24),IF('Workstreams'!$R24="Accepted","Done","Plan"),""),"Inputs needed")</x:f>
      </x:c>
      <x:c r="T24" s="17" t="str">
        <x:f>IF(AND(ISNUMBER('Workstreams'!$M24),ISNUMBER('Workstreams'!$N24)),IF(AND(T$6&gt;='Workstreams'!$M24,T$6&lt;='Workstreams'!$N24),IF('Workstreams'!$R24="Accepted","Done","Plan"),""),"Inputs needed")</x:f>
      </x:c>
      <x:c r="U24" s="17" t="str">
        <x:f>IF(AND(ISNUMBER('Workstreams'!$M24),ISNUMBER('Workstreams'!$N24)),IF(AND(U$6&gt;='Workstreams'!$M24,U$6&lt;='Workstreams'!$N24),IF('Workstreams'!$R24="Accepted","Done","Plan"),""),"Inputs needed")</x:f>
      </x:c>
      <x:c r="V24" s="17" t="str">
        <x:f>IF(AND(ISNUMBER('Workstreams'!$M24),ISNUMBER('Workstreams'!$N24)),IF(AND(V$6&gt;='Workstreams'!$M24,V$6&lt;='Workstreams'!$N24),IF('Workstreams'!$R24="Accepted","Done","Plan"),""),"Inputs needed")</x:f>
      </x:c>
      <x:c r="W24" s="17" t="str">
        <x:f>IF(AND(ISNUMBER('Workstreams'!$M24),ISNUMBER('Workstreams'!$N24)),IF(AND(W$6&gt;='Workstreams'!$M24,W$6&lt;='Workstreams'!$N24),IF('Workstreams'!$R24="Accepted","Done","Plan"),""),"Inputs needed")</x:f>
      </x:c>
      <x:c r="X24" s="17" t="str">
        <x:f>IF(AND(ISNUMBER('Workstreams'!$M24),ISNUMBER('Workstreams'!$N24)),IF(AND(X$6&gt;='Workstreams'!$M24,X$6&lt;='Workstreams'!$N24),IF('Workstreams'!$R24="Accepted","Done","Plan"),""),"Inputs needed")</x:f>
      </x:c>
      <x:c r="Y24" s="17" t="str">
        <x:f>IF(AND(ISNUMBER('Workstreams'!$M24),ISNUMBER('Workstreams'!$N24)),IF(AND(Y$6&gt;='Workstreams'!$M24,Y$6&lt;='Workstreams'!$N24),IF('Workstreams'!$R24="Accepted","Done","Plan"),""),"Inputs needed")</x:f>
      </x:c>
      <x:c r="Z24" s="17" t="str">
        <x:f>IF(AND(ISNUMBER('Workstreams'!$M24),ISNUMBER('Workstreams'!$N24)),IF(AND(Z$6&gt;='Workstreams'!$M24,Z$6&lt;='Workstreams'!$N24),IF('Workstreams'!$R24="Accepted","Done","Plan"),""),"Inputs needed")</x:f>
      </x:c>
      <x:c r="AA24" s="17" t="str">
        <x:f>IF(AND(ISNUMBER('Workstreams'!$M24),ISNUMBER('Workstreams'!$N24)),IF(AND(AA$6&gt;='Workstreams'!$M24,AA$6&lt;='Workstreams'!$N24),IF('Workstreams'!$R24="Accepted","Done","Plan"),""),"Inputs needed")</x:f>
      </x:c>
      <x:c r="AB24" s="17" t="str">
        <x:f>IF(AND(ISNUMBER('Workstreams'!$M24),ISNUMBER('Workstreams'!$N24)),IF(AND(AB$6&gt;='Workstreams'!$M24,AB$6&lt;='Workstreams'!$N24),IF('Workstreams'!$R24="Accepted","Done","Plan"),""),"Inputs needed")</x:f>
      </x:c>
      <x:c r="AC24" s="17" t="str">
        <x:f>IF(AND(ISNUMBER('Workstreams'!$M24),ISNUMBER('Workstreams'!$N24)),IF(AND(AC$6&gt;='Workstreams'!$M24,AC$6&lt;='Workstreams'!$N24),IF('Workstreams'!$R24="Accepted","Done","Plan"),""),"Inputs needed")</x:f>
        <x:v>Plan</x:v>
      </x:c>
      <x:c r="AD24" s="17" t="str">
        <x:f>IF(AND(ISNUMBER('Workstreams'!$M24),ISNUMBER('Workstreams'!$N24)),IF(AND(AD$6&gt;='Workstreams'!$M24,AD$6&lt;='Workstreams'!$N24),IF('Workstreams'!$R24="Accepted","Done","Plan"),""),"Inputs needed")</x:f>
      </x:c>
      <x:c r="AE24" s="17" t="str">
        <x:f>IF(AND(ISNUMBER('Workstreams'!$M24),ISNUMBER('Workstreams'!$N24)),IF(AND(AE$6&gt;='Workstreams'!$M24,AE$6&lt;='Workstreams'!$N24),IF('Workstreams'!$R24="Accepted","Done","Plan"),""),"Inputs needed")</x:f>
      </x:c>
      <x:c r="AF24" s="17" t="str">
        <x:f>IF(AND(ISNUMBER('Workstreams'!$M24),ISNUMBER('Workstreams'!$N24)),IF(AND(AF$6&gt;='Workstreams'!$M24,AF$6&lt;='Workstreams'!$N24),IF('Workstreams'!$R24="Accepted","Done","Plan"),""),"Inputs needed")</x:f>
      </x:c>
      <x:c r="AG24" s="17" t="str">
        <x:f>IF(AND(ISNUMBER('Workstreams'!$M24),ISNUMBER('Workstreams'!$N24)),IF(AND(AG$6&gt;='Workstreams'!$M24,AG$6&lt;='Workstreams'!$N24),IF('Workstreams'!$R24="Accepted","Done","Plan"),""),"Inputs needed")</x:f>
      </x:c>
      <x:c r="AH24" s="17" t="str">
        <x:f>IF(AND(ISNUMBER('Workstreams'!$M24),ISNUMBER('Workstreams'!$N24)),IF(AND(AH$6&gt;='Workstreams'!$M24,AH$6&lt;='Workstreams'!$N24),IF('Workstreams'!$R24="Accepted","Done","Plan"),""),"Inputs needed")</x:f>
      </x:c>
      <x:c r="AI24" s="17" t="str">
        <x:f>IF(AND(ISNUMBER('Workstreams'!$M24),ISNUMBER('Workstreams'!$N24)),IF(AND(AI$6&gt;='Workstreams'!$M24,AI$6&lt;='Workstreams'!$N24),IF('Workstreams'!$R24="Accepted","Done","Plan"),""),"Inputs needed")</x:f>
      </x:c>
      <x:c r="AJ24" s="17" t="str">
        <x:f>IF(AND(ISNUMBER('Workstreams'!$M24),ISNUMBER('Workstreams'!$N24)),IF(AND(AJ$6&gt;='Workstreams'!$M24,AJ$6&lt;='Workstreams'!$N24),IF('Workstreams'!$R24="Accepted","Done","Plan"),""),"Inputs needed")</x:f>
      </x:c>
      <x:c r="AK24" s="17" t="str">
        <x:f>IF(AND(ISNUMBER('Workstreams'!$M24),ISNUMBER('Workstreams'!$N24)),IF(AND(AK$6&gt;='Workstreams'!$M24,AK$6&lt;='Workstreams'!$N24),IF('Workstreams'!$R24="Accepted","Done","Plan"),""),"Inputs needed")</x:f>
      </x:c>
      <x:c r="AL24" s="17" t="str">
        <x:f>IF(AND(ISNUMBER('Workstreams'!$M24),ISNUMBER('Workstreams'!$N24)),IF(AND(AL$6&gt;='Workstreams'!$M24,AL$6&lt;='Workstreams'!$N24),IF('Workstreams'!$R24="Accepted","Done","Plan"),""),"Inputs needed")</x:f>
      </x:c>
      <x:c r="AM24" s="17" t="str">
        <x:f>IF(AND(ISNUMBER('Workstreams'!$M24),ISNUMBER('Workstreams'!$N24)),IF(AND(AM$6&gt;='Workstreams'!$M24,AM$6&lt;='Workstreams'!$N24),IF('Workstreams'!$R24="Accepted","Done","Plan"),""),"Inputs needed")</x:f>
      </x:c>
      <x:c r="AN24" s="17" t="str">
        <x:f>IF(AND(ISNUMBER('Workstreams'!$M24),ISNUMBER('Workstreams'!$N24)),IF(AND(AN$6&gt;='Workstreams'!$M24,AN$6&lt;='Workstreams'!$N24),IF('Workstreams'!$R24="Accepted","Done","Plan"),""),"Inputs needed")</x:f>
      </x:c>
      <x:c r="AO24" s="17" t="str">
        <x:f>IF(AND(ISNUMBER('Workstreams'!$M24),ISNUMBER('Workstreams'!$N24)),IF(AND(AO$6&gt;='Workstreams'!$M24,AO$6&lt;='Workstreams'!$N24),IF('Workstreams'!$R24="Accepted","Done","Plan"),""),"Inputs needed")</x:f>
      </x:c>
      <x:c r="AP24" s="17" t="str">
        <x:f>IF(AND(ISNUMBER('Workstreams'!$M24),ISNUMBER('Workstreams'!$N24)),IF(AND(AP$6&gt;='Workstreams'!$M24,AP$6&lt;='Workstreams'!$N24),IF('Workstreams'!$R24="Accepted","Done","Plan"),""),"Inputs needed")</x:f>
      </x:c>
      <x:c r="AQ24" s="17" t="str">
        <x:f>IF(AND(ISNUMBER('Workstreams'!$M24),ISNUMBER('Workstreams'!$N24)),IF(AND(AQ$6&gt;='Workstreams'!$M24,AQ$6&lt;='Workstreams'!$N24),IF('Workstreams'!$R24="Accepted","Done","Plan"),""),"Inputs needed")</x:f>
      </x:c>
      <x:c r="AR24" s="17" t="str">
        <x:f>IF(AND(ISNUMBER('Workstreams'!$M24),ISNUMBER('Workstreams'!$N24)),IF(AND(AR$6&gt;='Workstreams'!$M24,AR$6&lt;='Workstreams'!$N24),IF('Workstreams'!$R24="Accepted","Done","Plan"),""),"Inputs needed")</x:f>
      </x:c>
      <x:c r="AS24" s="17" t="str">
        <x:f>IF(AND(ISNUMBER('Workstreams'!$M24),ISNUMBER('Workstreams'!$N24)),IF(AND(AS$6&gt;='Workstreams'!$M24,AS$6&lt;='Workstreams'!$N24),IF('Workstreams'!$R24="Accepted","Done","Plan"),""),"Inputs needed")</x:f>
      </x:c>
      <x:c r="AT24" s="17" t="str">
        <x:f>IF(AND(ISNUMBER('Workstreams'!$M24),ISNUMBER('Workstreams'!$N24)),IF(AND(AT$6&gt;='Workstreams'!$M24,AT$6&lt;='Workstreams'!$N24),IF('Workstreams'!$R24="Accepted","Done","Plan"),""),"Inputs needed")</x:f>
      </x:c>
      <x:c r="AU24" s="17" t="str">
        <x:f>IF(AND(ISNUMBER('Workstreams'!$M24),ISNUMBER('Workstreams'!$N24)),IF(AND(AU$6&gt;='Workstreams'!$M24,AU$6&lt;='Workstreams'!$N24),IF('Workstreams'!$R24="Accepted","Done","Plan"),""),"Inputs needed")</x:f>
      </x:c>
      <x:c r="AV24" s="17" t="str">
        <x:f>IF(AND(ISNUMBER('Workstreams'!$M24),ISNUMBER('Workstreams'!$N24)),IF(AND(AV$6&gt;='Workstreams'!$M24,AV$6&lt;='Workstreams'!$N24),IF('Workstreams'!$R24="Accepted","Done","Plan"),""),"Inputs needed")</x:f>
      </x:c>
      <x:c r="AW24" s="17" t="str">
        <x:f>IF(AND(ISNUMBER('Workstreams'!$M24),ISNUMBER('Workstreams'!$N24)),IF(AND(AW$6&gt;='Workstreams'!$M24,AW$6&lt;='Workstreams'!$N24),IF('Workstreams'!$R24="Accepted","Done","Plan"),""),"Inputs needed")</x:f>
      </x:c>
      <x:c r="AX24" s="17" t="str">
        <x:f>IF(AND(ISNUMBER('Workstreams'!$M24),ISNUMBER('Workstreams'!$N24)),IF(AND(AX$6&gt;='Workstreams'!$M24,AX$6&lt;='Workstreams'!$N24),IF('Workstreams'!$R24="Accepted","Done","Plan"),""),"Inputs needed")</x:f>
      </x:c>
      <x:c r="AY24" s="17" t="str">
        <x:f>IF(AND(ISNUMBER('Workstreams'!$M24),ISNUMBER('Workstreams'!$N24)),IF(AND(AY$6&gt;='Workstreams'!$M24,AY$6&lt;='Workstreams'!$N24),IF('Workstreams'!$R24="Accepted","Done","Plan"),""),"Inputs needed")</x:f>
      </x:c>
      <x:c r="AZ24" s="17" t="str">
        <x:f>IF(AND(ISNUMBER('Workstreams'!$M24),ISNUMBER('Workstreams'!$N24)),IF(AND(AZ$6&gt;='Workstreams'!$M24,AZ$6&lt;='Workstreams'!$N24),IF('Workstreams'!$R24="Accepted","Done","Plan"),""),"Inputs needed")</x:f>
      </x:c>
      <x:c r="BA24" s="17" t="str">
        <x:f>IF(AND(ISNUMBER('Workstreams'!$M24),ISNUMBER('Workstreams'!$N24)),IF(AND(BA$6&gt;='Workstreams'!$M24,BA$6&lt;='Workstreams'!$N24),IF('Workstreams'!$R24="Accepted","Done","Plan"),""),"Inputs needed")</x:f>
      </x:c>
      <x:c r="BB24" s="17" t="str">
        <x:f>IF(AND(ISNUMBER('Workstreams'!$M24),ISNUMBER('Workstreams'!$N24)),IF(AND(BB$6&gt;='Workstreams'!$M24,BB$6&lt;='Workstreams'!$N24),IF('Workstreams'!$R24="Accepted","Done","Plan"),""),"Inputs needed")</x:f>
      </x:c>
      <x:c r="BC24" s="17" t="str">
        <x:f>IF(AND(ISNUMBER('Workstreams'!$M24),ISNUMBER('Workstreams'!$N24)),IF(AND(BC$6&gt;='Workstreams'!$M24,BC$6&lt;='Workstreams'!$N24),IF('Workstreams'!$R24="Accepted","Done","Plan"),""),"Inputs needed")</x:f>
      </x:c>
      <x:c r="BD24" s="17" t="str">
        <x:f>IF(AND(ISNUMBER('Workstreams'!$M24),ISNUMBER('Workstreams'!$N24)),IF(AND(BD$6&gt;='Workstreams'!$M24,BD$6&lt;='Workstreams'!$N24),IF('Workstreams'!$R24="Accepted","Done","Plan"),""),"Inputs needed")</x:f>
      </x:c>
    </x:row>
    <x:row r="25" ht="48" customHeight="1">
      <x:c r="A25" s="8"/>
      <x:c r="B25" s="8"/>
      <x:c r="C25" s="8"/>
      <x:c r="D25" s="8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  <x:c r="AA25" s="17"/>
      <x:c r="AB25" s="17"/>
      <x:c r="AC25" s="17"/>
      <x:c r="AD25" s="17"/>
      <x:c r="AE25" s="17"/>
      <x:c r="AF25" s="17"/>
      <x:c r="AG25" s="17"/>
      <x:c r="AH25" s="17"/>
      <x:c r="AI25" s="17"/>
      <x:c r="AJ25" s="17"/>
      <x:c r="AK25" s="17"/>
      <x:c r="AL25" s="17"/>
      <x:c r="AM25" s="17"/>
      <x:c r="AN25" s="17"/>
      <x:c r="AO25" s="17"/>
      <x:c r="AP25" s="17"/>
      <x:c r="AQ25" s="17"/>
      <x:c r="AR25" s="17"/>
      <x:c r="AS25" s="17"/>
      <x:c r="AT25" s="17"/>
      <x:c r="AU25" s="17"/>
      <x:c r="AV25" s="17"/>
      <x:c r="AW25" s="17"/>
      <x:c r="AX25" s="17"/>
      <x:c r="AY25" s="17"/>
      <x:c r="AZ25" s="17"/>
      <x:c r="BA25" s="17"/>
      <x:c r="BB25" s="17"/>
      <x:c r="BC25" s="17"/>
      <x:c r="BD25" s="17"/>
    </x:row>
    <x:row r="26" ht="48" customHeight="1">
      <x:c r="A26" s="8" t="str">
        <x:v>BUF1</x:v>
      </x:c>
      <x:c r="B26" s="8" t="str">
        <x:v>Pilot decision / fix allowance</x:v>
      </x:c>
      <x:c r="C26" s="8"/>
      <x:c r="D26" s="8"/>
      <x:c r="E26" s="17" t="str">
        <x:f>IF(ISNUMBER('Launch plan'!$C$20),IF(AND(E$6&gt;'Workstreams'!$N$21,E$6&lt;'Launch plan'!$C$20),"Allowance",""),"Inputs needed")</x:f>
      </x:c>
      <x:c r="F26" s="17" t="str">
        <x:f>IF(ISNUMBER('Launch plan'!$C$20),IF(AND(F$6&gt;'Workstreams'!$N$21,F$6&lt;'Launch plan'!$C$20),"Allowance",""),"Inputs needed")</x:f>
      </x:c>
      <x:c r="G26" s="17" t="str">
        <x:f>IF(ISNUMBER('Launch plan'!$C$20),IF(AND(G$6&gt;'Workstreams'!$N$21,G$6&lt;'Launch plan'!$C$20),"Allowance",""),"Inputs needed")</x:f>
      </x:c>
      <x:c r="H26" s="17" t="str">
        <x:f>IF(ISNUMBER('Launch plan'!$C$20),IF(AND(H$6&gt;'Workstreams'!$N$21,H$6&lt;'Launch plan'!$C$20),"Allowance",""),"Inputs needed")</x:f>
      </x:c>
      <x:c r="I26" s="17" t="str">
        <x:f>IF(ISNUMBER('Launch plan'!$C$20),IF(AND(I$6&gt;'Workstreams'!$N$21,I$6&lt;'Launch plan'!$C$20),"Allowance",""),"Inputs needed")</x:f>
      </x:c>
      <x:c r="J26" s="17" t="str">
        <x:f>IF(ISNUMBER('Launch plan'!$C$20),IF(AND(J$6&gt;'Workstreams'!$N$21,J$6&lt;'Launch plan'!$C$20),"Allowance",""),"Inputs needed")</x:f>
      </x:c>
      <x:c r="K26" s="17" t="str">
        <x:f>IF(ISNUMBER('Launch plan'!$C$20),IF(AND(K$6&gt;'Workstreams'!$N$21,K$6&lt;'Launch plan'!$C$20),"Allowance",""),"Inputs needed")</x:f>
      </x:c>
      <x:c r="L26" s="17" t="str">
        <x:f>IF(ISNUMBER('Launch plan'!$C$20),IF(AND(L$6&gt;'Workstreams'!$N$21,L$6&lt;'Launch plan'!$C$20),"Allowance",""),"Inputs needed")</x:f>
      </x:c>
      <x:c r="M26" s="17" t="str">
        <x:f>IF(ISNUMBER('Launch plan'!$C$20),IF(AND(M$6&gt;'Workstreams'!$N$21,M$6&lt;'Launch plan'!$C$20),"Allowance",""),"Inputs needed")</x:f>
      </x:c>
      <x:c r="N26" s="17" t="str">
        <x:f>IF(ISNUMBER('Launch plan'!$C$20),IF(AND(N$6&gt;'Workstreams'!$N$21,N$6&lt;'Launch plan'!$C$20),"Allowance",""),"Inputs needed")</x:f>
      </x:c>
      <x:c r="O26" s="17" t="str">
        <x:f>IF(ISNUMBER('Launch plan'!$C$20),IF(AND(O$6&gt;'Workstreams'!$N$21,O$6&lt;'Launch plan'!$C$20),"Allowance",""),"Inputs needed")</x:f>
      </x:c>
      <x:c r="P26" s="17" t="str">
        <x:f>IF(ISNUMBER('Launch plan'!$C$20),IF(AND(P$6&gt;'Workstreams'!$N$21,P$6&lt;'Launch plan'!$C$20),"Allowance",""),"Inputs needed")</x:f>
      </x:c>
      <x:c r="Q26" s="17" t="str">
        <x:f>IF(ISNUMBER('Launch plan'!$C$20),IF(AND(Q$6&gt;'Workstreams'!$N$21,Q$6&lt;'Launch plan'!$C$20),"Allowance",""),"Inputs needed")</x:f>
      </x:c>
      <x:c r="R26" s="17" t="str">
        <x:f>IF(ISNUMBER('Launch plan'!$C$20),IF(AND(R$6&gt;'Workstreams'!$N$21,R$6&lt;'Launch plan'!$C$20),"Allowance",""),"Inputs needed")</x:f>
      </x:c>
      <x:c r="S26" s="17" t="str">
        <x:f>IF(ISNUMBER('Launch plan'!$C$20),IF(AND(S$6&gt;'Workstreams'!$N$21,S$6&lt;'Launch plan'!$C$20),"Allowance",""),"Inputs needed")</x:f>
      </x:c>
      <x:c r="T26" s="17" t="str">
        <x:f>IF(ISNUMBER('Launch plan'!$C$20),IF(AND(T$6&gt;'Workstreams'!$N$21,T$6&lt;'Launch plan'!$C$20),"Allowance",""),"Inputs needed")</x:f>
      </x:c>
      <x:c r="U26" s="17" t="str">
        <x:f>IF(ISNUMBER('Launch plan'!$C$20),IF(AND(U$6&gt;'Workstreams'!$N$21,U$6&lt;'Launch plan'!$C$20),"Allowance",""),"Inputs needed")</x:f>
        <x:v>Allowance</x:v>
      </x:c>
      <x:c r="V26" s="17" t="str">
        <x:f>IF(ISNUMBER('Launch plan'!$C$20),IF(AND(V$6&gt;'Workstreams'!$N$21,V$6&lt;'Launch plan'!$C$20),"Allowance",""),"Inputs needed")</x:f>
        <x:v>Allowance</x:v>
      </x:c>
      <x:c r="W26" s="17" t="str">
        <x:f>IF(ISNUMBER('Launch plan'!$C$20),IF(AND(W$6&gt;'Workstreams'!$N$21,W$6&lt;'Launch plan'!$C$20),"Allowance",""),"Inputs needed")</x:f>
      </x:c>
      <x:c r="X26" s="17" t="str">
        <x:f>IF(ISNUMBER('Launch plan'!$C$20),IF(AND(X$6&gt;'Workstreams'!$N$21,X$6&lt;'Launch plan'!$C$20),"Allowance",""),"Inputs needed")</x:f>
      </x:c>
      <x:c r="Y26" s="17" t="str">
        <x:f>IF(ISNUMBER('Launch plan'!$C$20),IF(AND(Y$6&gt;'Workstreams'!$N$21,Y$6&lt;'Launch plan'!$C$20),"Allowance",""),"Inputs needed")</x:f>
      </x:c>
      <x:c r="Z26" s="17" t="str">
        <x:f>IF(ISNUMBER('Launch plan'!$C$20),IF(AND(Z$6&gt;'Workstreams'!$N$21,Z$6&lt;'Launch plan'!$C$20),"Allowance",""),"Inputs needed")</x:f>
      </x:c>
      <x:c r="AA26" s="17" t="str">
        <x:f>IF(ISNUMBER('Launch plan'!$C$20),IF(AND(AA$6&gt;'Workstreams'!$N$21,AA$6&lt;'Launch plan'!$C$20),"Allowance",""),"Inputs needed")</x:f>
      </x:c>
      <x:c r="AB26" s="17" t="str">
        <x:f>IF(ISNUMBER('Launch plan'!$C$20),IF(AND(AB$6&gt;'Workstreams'!$N$21,AB$6&lt;'Launch plan'!$C$20),"Allowance",""),"Inputs needed")</x:f>
      </x:c>
      <x:c r="AC26" s="17" t="str">
        <x:f>IF(ISNUMBER('Launch plan'!$C$20),IF(AND(AC$6&gt;'Workstreams'!$N$21,AC$6&lt;'Launch plan'!$C$20),"Allowance",""),"Inputs needed")</x:f>
      </x:c>
      <x:c r="AD26" s="17" t="str">
        <x:f>IF(ISNUMBER('Launch plan'!$C$20),IF(AND(AD$6&gt;'Workstreams'!$N$21,AD$6&lt;'Launch plan'!$C$20),"Allowance",""),"Inputs needed")</x:f>
      </x:c>
      <x:c r="AE26" s="17" t="str">
        <x:f>IF(ISNUMBER('Launch plan'!$C$20),IF(AND(AE$6&gt;'Workstreams'!$N$21,AE$6&lt;'Launch plan'!$C$20),"Allowance",""),"Inputs needed")</x:f>
      </x:c>
      <x:c r="AF26" s="17" t="str">
        <x:f>IF(ISNUMBER('Launch plan'!$C$20),IF(AND(AF$6&gt;'Workstreams'!$N$21,AF$6&lt;'Launch plan'!$C$20),"Allowance",""),"Inputs needed")</x:f>
      </x:c>
      <x:c r="AG26" s="17" t="str">
        <x:f>IF(ISNUMBER('Launch plan'!$C$20),IF(AND(AG$6&gt;'Workstreams'!$N$21,AG$6&lt;'Launch plan'!$C$20),"Allowance",""),"Inputs needed")</x:f>
      </x:c>
      <x:c r="AH26" s="17" t="str">
        <x:f>IF(ISNUMBER('Launch plan'!$C$20),IF(AND(AH$6&gt;'Workstreams'!$N$21,AH$6&lt;'Launch plan'!$C$20),"Allowance",""),"Inputs needed")</x:f>
      </x:c>
      <x:c r="AI26" s="17" t="str">
        <x:f>IF(ISNUMBER('Launch plan'!$C$20),IF(AND(AI$6&gt;'Workstreams'!$N$21,AI$6&lt;'Launch plan'!$C$20),"Allowance",""),"Inputs needed")</x:f>
      </x:c>
      <x:c r="AJ26" s="17" t="str">
        <x:f>IF(ISNUMBER('Launch plan'!$C$20),IF(AND(AJ$6&gt;'Workstreams'!$N$21,AJ$6&lt;'Launch plan'!$C$20),"Allowance",""),"Inputs needed")</x:f>
      </x:c>
      <x:c r="AK26" s="17" t="str">
        <x:f>IF(ISNUMBER('Launch plan'!$C$20),IF(AND(AK$6&gt;'Workstreams'!$N$21,AK$6&lt;'Launch plan'!$C$20),"Allowance",""),"Inputs needed")</x:f>
      </x:c>
      <x:c r="AL26" s="17" t="str">
        <x:f>IF(ISNUMBER('Launch plan'!$C$20),IF(AND(AL$6&gt;'Workstreams'!$N$21,AL$6&lt;'Launch plan'!$C$20),"Allowance",""),"Inputs needed")</x:f>
      </x:c>
      <x:c r="AM26" s="17" t="str">
        <x:f>IF(ISNUMBER('Launch plan'!$C$20),IF(AND(AM$6&gt;'Workstreams'!$N$21,AM$6&lt;'Launch plan'!$C$20),"Allowance",""),"Inputs needed")</x:f>
      </x:c>
      <x:c r="AN26" s="17" t="str">
        <x:f>IF(ISNUMBER('Launch plan'!$C$20),IF(AND(AN$6&gt;'Workstreams'!$N$21,AN$6&lt;'Launch plan'!$C$20),"Allowance",""),"Inputs needed")</x:f>
      </x:c>
      <x:c r="AO26" s="17" t="str">
        <x:f>IF(ISNUMBER('Launch plan'!$C$20),IF(AND(AO$6&gt;'Workstreams'!$N$21,AO$6&lt;'Launch plan'!$C$20),"Allowance",""),"Inputs needed")</x:f>
      </x:c>
      <x:c r="AP26" s="17" t="str">
        <x:f>IF(ISNUMBER('Launch plan'!$C$20),IF(AND(AP$6&gt;'Workstreams'!$N$21,AP$6&lt;'Launch plan'!$C$20),"Allowance",""),"Inputs needed")</x:f>
      </x:c>
      <x:c r="AQ26" s="17" t="str">
        <x:f>IF(ISNUMBER('Launch plan'!$C$20),IF(AND(AQ$6&gt;'Workstreams'!$N$21,AQ$6&lt;'Launch plan'!$C$20),"Allowance",""),"Inputs needed")</x:f>
      </x:c>
      <x:c r="AR26" s="17" t="str">
        <x:f>IF(ISNUMBER('Launch plan'!$C$20),IF(AND(AR$6&gt;'Workstreams'!$N$21,AR$6&lt;'Launch plan'!$C$20),"Allowance",""),"Inputs needed")</x:f>
      </x:c>
      <x:c r="AS26" s="17" t="str">
        <x:f>IF(ISNUMBER('Launch plan'!$C$20),IF(AND(AS$6&gt;'Workstreams'!$N$21,AS$6&lt;'Launch plan'!$C$20),"Allowance",""),"Inputs needed")</x:f>
      </x:c>
      <x:c r="AT26" s="17" t="str">
        <x:f>IF(ISNUMBER('Launch plan'!$C$20),IF(AND(AT$6&gt;'Workstreams'!$N$21,AT$6&lt;'Launch plan'!$C$20),"Allowance",""),"Inputs needed")</x:f>
      </x:c>
      <x:c r="AU26" s="17" t="str">
        <x:f>IF(ISNUMBER('Launch plan'!$C$20),IF(AND(AU$6&gt;'Workstreams'!$N$21,AU$6&lt;'Launch plan'!$C$20),"Allowance",""),"Inputs needed")</x:f>
      </x:c>
      <x:c r="AV26" s="17" t="str">
        <x:f>IF(ISNUMBER('Launch plan'!$C$20),IF(AND(AV$6&gt;'Workstreams'!$N$21,AV$6&lt;'Launch plan'!$C$20),"Allowance",""),"Inputs needed")</x:f>
      </x:c>
      <x:c r="AW26" s="17" t="str">
        <x:f>IF(ISNUMBER('Launch plan'!$C$20),IF(AND(AW$6&gt;'Workstreams'!$N$21,AW$6&lt;'Launch plan'!$C$20),"Allowance",""),"Inputs needed")</x:f>
      </x:c>
      <x:c r="AX26" s="17" t="str">
        <x:f>IF(ISNUMBER('Launch plan'!$C$20),IF(AND(AX$6&gt;'Workstreams'!$N$21,AX$6&lt;'Launch plan'!$C$20),"Allowance",""),"Inputs needed")</x:f>
      </x:c>
      <x:c r="AY26" s="17" t="str">
        <x:f>IF(ISNUMBER('Launch plan'!$C$20),IF(AND(AY$6&gt;'Workstreams'!$N$21,AY$6&lt;'Launch plan'!$C$20),"Allowance",""),"Inputs needed")</x:f>
      </x:c>
      <x:c r="AZ26" s="17" t="str">
        <x:f>IF(ISNUMBER('Launch plan'!$C$20),IF(AND(AZ$6&gt;'Workstreams'!$N$21,AZ$6&lt;'Launch plan'!$C$20),"Allowance",""),"Inputs needed")</x:f>
      </x:c>
      <x:c r="BA26" s="17" t="str">
        <x:f>IF(ISNUMBER('Launch plan'!$C$20),IF(AND(BA$6&gt;'Workstreams'!$N$21,BA$6&lt;'Launch plan'!$C$20),"Allowance",""),"Inputs needed")</x:f>
      </x:c>
      <x:c r="BB26" s="17" t="str">
        <x:f>IF(ISNUMBER('Launch plan'!$C$20),IF(AND(BB$6&gt;'Workstreams'!$N$21,BB$6&lt;'Launch plan'!$C$20),"Allowance",""),"Inputs needed")</x:f>
      </x:c>
      <x:c r="BC26" s="17" t="str">
        <x:f>IF(ISNUMBER('Launch plan'!$C$20),IF(AND(BC$6&gt;'Workstreams'!$N$21,BC$6&lt;'Launch plan'!$C$20),"Allowance",""),"Inputs needed")</x:f>
      </x:c>
      <x:c r="BD26" s="17" t="str">
        <x:f>IF(ISNUMBER('Launch plan'!$C$20),IF(AND(BD$6&gt;'Workstreams'!$N$21,BD$6&lt;'Launch plan'!$C$20),"Allowance",""),"Inputs needed")</x:f>
      </x:c>
    </x:row>
    <x:row r="27" ht="48" customHeight="1">
      <x:c r="A27" s="8" t="str">
        <x:v>PILOT</x:v>
      </x:c>
      <x:c r="B27" s="8" t="str">
        <x:v>Pilot observation</x:v>
      </x:c>
      <x:c r="C27" s="8"/>
      <x:c r="D27" s="8"/>
      <x:c r="E27" s="17" t="str">
        <x:f>IF(ISNUMBER('Launch plan'!$C$20),IF(AND(E$6&gt;='Launch plan'!$C$20,E$6&lt;'Launch plan'!$C$20+7*'Launch plan'!$B$11),"Observe",""),"Inputs needed")</x:f>
      </x:c>
      <x:c r="F27" s="17" t="str">
        <x:f>IF(ISNUMBER('Launch plan'!$C$20),IF(AND(F$6&gt;='Launch plan'!$C$20,F$6&lt;'Launch plan'!$C$20+7*'Launch plan'!$B$11),"Observe",""),"Inputs needed")</x:f>
      </x:c>
      <x:c r="G27" s="17" t="str">
        <x:f>IF(ISNUMBER('Launch plan'!$C$20),IF(AND(G$6&gt;='Launch plan'!$C$20,G$6&lt;'Launch plan'!$C$20+7*'Launch plan'!$B$11),"Observe",""),"Inputs needed")</x:f>
      </x:c>
      <x:c r="H27" s="17" t="str">
        <x:f>IF(ISNUMBER('Launch plan'!$C$20),IF(AND(H$6&gt;='Launch plan'!$C$20,H$6&lt;'Launch plan'!$C$20+7*'Launch plan'!$B$11),"Observe",""),"Inputs needed")</x:f>
      </x:c>
      <x:c r="I27" s="17" t="str">
        <x:f>IF(ISNUMBER('Launch plan'!$C$20),IF(AND(I$6&gt;='Launch plan'!$C$20,I$6&lt;'Launch plan'!$C$20+7*'Launch plan'!$B$11),"Observe",""),"Inputs needed")</x:f>
      </x:c>
      <x:c r="J27" s="17" t="str">
        <x:f>IF(ISNUMBER('Launch plan'!$C$20),IF(AND(J$6&gt;='Launch plan'!$C$20,J$6&lt;'Launch plan'!$C$20+7*'Launch plan'!$B$11),"Observe",""),"Inputs needed")</x:f>
      </x:c>
      <x:c r="K27" s="17" t="str">
        <x:f>IF(ISNUMBER('Launch plan'!$C$20),IF(AND(K$6&gt;='Launch plan'!$C$20,K$6&lt;'Launch plan'!$C$20+7*'Launch plan'!$B$11),"Observe",""),"Inputs needed")</x:f>
      </x:c>
      <x:c r="L27" s="17" t="str">
        <x:f>IF(ISNUMBER('Launch plan'!$C$20),IF(AND(L$6&gt;='Launch plan'!$C$20,L$6&lt;'Launch plan'!$C$20+7*'Launch plan'!$B$11),"Observe",""),"Inputs needed")</x:f>
      </x:c>
      <x:c r="M27" s="17" t="str">
        <x:f>IF(ISNUMBER('Launch plan'!$C$20),IF(AND(M$6&gt;='Launch plan'!$C$20,M$6&lt;'Launch plan'!$C$20+7*'Launch plan'!$B$11),"Observe",""),"Inputs needed")</x:f>
      </x:c>
      <x:c r="N27" s="17" t="str">
        <x:f>IF(ISNUMBER('Launch plan'!$C$20),IF(AND(N$6&gt;='Launch plan'!$C$20,N$6&lt;'Launch plan'!$C$20+7*'Launch plan'!$B$11),"Observe",""),"Inputs needed")</x:f>
      </x:c>
      <x:c r="O27" s="17" t="str">
        <x:f>IF(ISNUMBER('Launch plan'!$C$20),IF(AND(O$6&gt;='Launch plan'!$C$20,O$6&lt;'Launch plan'!$C$20+7*'Launch plan'!$B$11),"Observe",""),"Inputs needed")</x:f>
      </x:c>
      <x:c r="P27" s="17" t="str">
        <x:f>IF(ISNUMBER('Launch plan'!$C$20),IF(AND(P$6&gt;='Launch plan'!$C$20,P$6&lt;'Launch plan'!$C$20+7*'Launch plan'!$B$11),"Observe",""),"Inputs needed")</x:f>
      </x:c>
      <x:c r="Q27" s="17" t="str">
        <x:f>IF(ISNUMBER('Launch plan'!$C$20),IF(AND(Q$6&gt;='Launch plan'!$C$20,Q$6&lt;'Launch plan'!$C$20+7*'Launch plan'!$B$11),"Observe",""),"Inputs needed")</x:f>
      </x:c>
      <x:c r="R27" s="17" t="str">
        <x:f>IF(ISNUMBER('Launch plan'!$C$20),IF(AND(R$6&gt;='Launch plan'!$C$20,R$6&lt;'Launch plan'!$C$20+7*'Launch plan'!$B$11),"Observe",""),"Inputs needed")</x:f>
      </x:c>
      <x:c r="S27" s="17" t="str">
        <x:f>IF(ISNUMBER('Launch plan'!$C$20),IF(AND(S$6&gt;='Launch plan'!$C$20,S$6&lt;'Launch plan'!$C$20+7*'Launch plan'!$B$11),"Observe",""),"Inputs needed")</x:f>
      </x:c>
      <x:c r="T27" s="17" t="str">
        <x:f>IF(ISNUMBER('Launch plan'!$C$20),IF(AND(T$6&gt;='Launch plan'!$C$20,T$6&lt;'Launch plan'!$C$20+7*'Launch plan'!$B$11),"Observe",""),"Inputs needed")</x:f>
      </x:c>
      <x:c r="U27" s="17" t="str">
        <x:f>IF(ISNUMBER('Launch plan'!$C$20),IF(AND(U$6&gt;='Launch plan'!$C$20,U$6&lt;'Launch plan'!$C$20+7*'Launch plan'!$B$11),"Observe",""),"Inputs needed")</x:f>
      </x:c>
      <x:c r="V27" s="17" t="str">
        <x:f>IF(ISNUMBER('Launch plan'!$C$20),IF(AND(V$6&gt;='Launch plan'!$C$20,V$6&lt;'Launch plan'!$C$20+7*'Launch plan'!$B$11),"Observe",""),"Inputs needed")</x:f>
      </x:c>
      <x:c r="W27" s="17" t="str">
        <x:f>IF(ISNUMBER('Launch plan'!$C$20),IF(AND(W$6&gt;='Launch plan'!$C$20,W$6&lt;'Launch plan'!$C$20+7*'Launch plan'!$B$11),"Observe",""),"Inputs needed")</x:f>
        <x:v>Observe</x:v>
      </x:c>
      <x:c r="X27" s="17" t="str">
        <x:f>IF(ISNUMBER('Launch plan'!$C$20),IF(AND(X$6&gt;='Launch plan'!$C$20,X$6&lt;'Launch plan'!$C$20+7*'Launch plan'!$B$11),"Observe",""),"Inputs needed")</x:f>
        <x:v>Observe</x:v>
      </x:c>
      <x:c r="Y27" s="17" t="str">
        <x:f>IF(ISNUMBER('Launch plan'!$C$20),IF(AND(Y$6&gt;='Launch plan'!$C$20,Y$6&lt;'Launch plan'!$C$20+7*'Launch plan'!$B$11),"Observe",""),"Inputs needed")</x:f>
        <x:v>Observe</x:v>
      </x:c>
      <x:c r="Z27" s="17" t="str">
        <x:f>IF(ISNUMBER('Launch plan'!$C$20),IF(AND(Z$6&gt;='Launch plan'!$C$20,Z$6&lt;'Launch plan'!$C$20+7*'Launch plan'!$B$11),"Observe",""),"Inputs needed")</x:f>
        <x:v>Observe</x:v>
      </x:c>
      <x:c r="AA27" s="17" t="str">
        <x:f>IF(ISNUMBER('Launch plan'!$C$20),IF(AND(AA$6&gt;='Launch plan'!$C$20,AA$6&lt;'Launch plan'!$C$20+7*'Launch plan'!$B$11),"Observe",""),"Inputs needed")</x:f>
      </x:c>
      <x:c r="AB27" s="17" t="str">
        <x:f>IF(ISNUMBER('Launch plan'!$C$20),IF(AND(AB$6&gt;='Launch plan'!$C$20,AB$6&lt;'Launch plan'!$C$20+7*'Launch plan'!$B$11),"Observe",""),"Inputs needed")</x:f>
      </x:c>
      <x:c r="AC27" s="17" t="str">
        <x:f>IF(ISNUMBER('Launch plan'!$C$20),IF(AND(AC$6&gt;='Launch plan'!$C$20,AC$6&lt;'Launch plan'!$C$20+7*'Launch plan'!$B$11),"Observe",""),"Inputs needed")</x:f>
      </x:c>
      <x:c r="AD27" s="17" t="str">
        <x:f>IF(ISNUMBER('Launch plan'!$C$20),IF(AND(AD$6&gt;='Launch plan'!$C$20,AD$6&lt;'Launch plan'!$C$20+7*'Launch plan'!$B$11),"Observe",""),"Inputs needed")</x:f>
      </x:c>
      <x:c r="AE27" s="17" t="str">
        <x:f>IF(ISNUMBER('Launch plan'!$C$20),IF(AND(AE$6&gt;='Launch plan'!$C$20,AE$6&lt;'Launch plan'!$C$20+7*'Launch plan'!$B$11),"Observe",""),"Inputs needed")</x:f>
      </x:c>
      <x:c r="AF27" s="17" t="str">
        <x:f>IF(ISNUMBER('Launch plan'!$C$20),IF(AND(AF$6&gt;='Launch plan'!$C$20,AF$6&lt;'Launch plan'!$C$20+7*'Launch plan'!$B$11),"Observe",""),"Inputs needed")</x:f>
      </x:c>
      <x:c r="AG27" s="17" t="str">
        <x:f>IF(ISNUMBER('Launch plan'!$C$20),IF(AND(AG$6&gt;='Launch plan'!$C$20,AG$6&lt;'Launch plan'!$C$20+7*'Launch plan'!$B$11),"Observe",""),"Inputs needed")</x:f>
      </x:c>
      <x:c r="AH27" s="17" t="str">
        <x:f>IF(ISNUMBER('Launch plan'!$C$20),IF(AND(AH$6&gt;='Launch plan'!$C$20,AH$6&lt;'Launch plan'!$C$20+7*'Launch plan'!$B$11),"Observe",""),"Inputs needed")</x:f>
      </x:c>
      <x:c r="AI27" s="17" t="str">
        <x:f>IF(ISNUMBER('Launch plan'!$C$20),IF(AND(AI$6&gt;='Launch plan'!$C$20,AI$6&lt;'Launch plan'!$C$20+7*'Launch plan'!$B$11),"Observe",""),"Inputs needed")</x:f>
      </x:c>
      <x:c r="AJ27" s="17" t="str">
        <x:f>IF(ISNUMBER('Launch plan'!$C$20),IF(AND(AJ$6&gt;='Launch plan'!$C$20,AJ$6&lt;'Launch plan'!$C$20+7*'Launch plan'!$B$11),"Observe",""),"Inputs needed")</x:f>
      </x:c>
      <x:c r="AK27" s="17" t="str">
        <x:f>IF(ISNUMBER('Launch plan'!$C$20),IF(AND(AK$6&gt;='Launch plan'!$C$20,AK$6&lt;'Launch plan'!$C$20+7*'Launch plan'!$B$11),"Observe",""),"Inputs needed")</x:f>
      </x:c>
      <x:c r="AL27" s="17" t="str">
        <x:f>IF(ISNUMBER('Launch plan'!$C$20),IF(AND(AL$6&gt;='Launch plan'!$C$20,AL$6&lt;'Launch plan'!$C$20+7*'Launch plan'!$B$11),"Observe",""),"Inputs needed")</x:f>
      </x:c>
      <x:c r="AM27" s="17" t="str">
        <x:f>IF(ISNUMBER('Launch plan'!$C$20),IF(AND(AM$6&gt;='Launch plan'!$C$20,AM$6&lt;'Launch plan'!$C$20+7*'Launch plan'!$B$11),"Observe",""),"Inputs needed")</x:f>
      </x:c>
      <x:c r="AN27" s="17" t="str">
        <x:f>IF(ISNUMBER('Launch plan'!$C$20),IF(AND(AN$6&gt;='Launch plan'!$C$20,AN$6&lt;'Launch plan'!$C$20+7*'Launch plan'!$B$11),"Observe",""),"Inputs needed")</x:f>
      </x:c>
      <x:c r="AO27" s="17" t="str">
        <x:f>IF(ISNUMBER('Launch plan'!$C$20),IF(AND(AO$6&gt;='Launch plan'!$C$20,AO$6&lt;'Launch plan'!$C$20+7*'Launch plan'!$B$11),"Observe",""),"Inputs needed")</x:f>
      </x:c>
      <x:c r="AP27" s="17" t="str">
        <x:f>IF(ISNUMBER('Launch plan'!$C$20),IF(AND(AP$6&gt;='Launch plan'!$C$20,AP$6&lt;'Launch plan'!$C$20+7*'Launch plan'!$B$11),"Observe",""),"Inputs needed")</x:f>
      </x:c>
      <x:c r="AQ27" s="17" t="str">
        <x:f>IF(ISNUMBER('Launch plan'!$C$20),IF(AND(AQ$6&gt;='Launch plan'!$C$20,AQ$6&lt;'Launch plan'!$C$20+7*'Launch plan'!$B$11),"Observe",""),"Inputs needed")</x:f>
      </x:c>
      <x:c r="AR27" s="17" t="str">
        <x:f>IF(ISNUMBER('Launch plan'!$C$20),IF(AND(AR$6&gt;='Launch plan'!$C$20,AR$6&lt;'Launch plan'!$C$20+7*'Launch plan'!$B$11),"Observe",""),"Inputs needed")</x:f>
      </x:c>
      <x:c r="AS27" s="17" t="str">
        <x:f>IF(ISNUMBER('Launch plan'!$C$20),IF(AND(AS$6&gt;='Launch plan'!$C$20,AS$6&lt;'Launch plan'!$C$20+7*'Launch plan'!$B$11),"Observe",""),"Inputs needed")</x:f>
      </x:c>
      <x:c r="AT27" s="17" t="str">
        <x:f>IF(ISNUMBER('Launch plan'!$C$20),IF(AND(AT$6&gt;='Launch plan'!$C$20,AT$6&lt;'Launch plan'!$C$20+7*'Launch plan'!$B$11),"Observe",""),"Inputs needed")</x:f>
      </x:c>
      <x:c r="AU27" s="17" t="str">
        <x:f>IF(ISNUMBER('Launch plan'!$C$20),IF(AND(AU$6&gt;='Launch plan'!$C$20,AU$6&lt;'Launch plan'!$C$20+7*'Launch plan'!$B$11),"Observe",""),"Inputs needed")</x:f>
      </x:c>
      <x:c r="AV27" s="17" t="str">
        <x:f>IF(ISNUMBER('Launch plan'!$C$20),IF(AND(AV$6&gt;='Launch plan'!$C$20,AV$6&lt;'Launch plan'!$C$20+7*'Launch plan'!$B$11),"Observe",""),"Inputs needed")</x:f>
      </x:c>
      <x:c r="AW27" s="17" t="str">
        <x:f>IF(ISNUMBER('Launch plan'!$C$20),IF(AND(AW$6&gt;='Launch plan'!$C$20,AW$6&lt;'Launch plan'!$C$20+7*'Launch plan'!$B$11),"Observe",""),"Inputs needed")</x:f>
      </x:c>
      <x:c r="AX27" s="17" t="str">
        <x:f>IF(ISNUMBER('Launch plan'!$C$20),IF(AND(AX$6&gt;='Launch plan'!$C$20,AX$6&lt;'Launch plan'!$C$20+7*'Launch plan'!$B$11),"Observe",""),"Inputs needed")</x:f>
      </x:c>
      <x:c r="AY27" s="17" t="str">
        <x:f>IF(ISNUMBER('Launch plan'!$C$20),IF(AND(AY$6&gt;='Launch plan'!$C$20,AY$6&lt;'Launch plan'!$C$20+7*'Launch plan'!$B$11),"Observe",""),"Inputs needed")</x:f>
      </x:c>
      <x:c r="AZ27" s="17" t="str">
        <x:f>IF(ISNUMBER('Launch plan'!$C$20),IF(AND(AZ$6&gt;='Launch plan'!$C$20,AZ$6&lt;'Launch plan'!$C$20+7*'Launch plan'!$B$11),"Observe",""),"Inputs needed")</x:f>
      </x:c>
      <x:c r="BA27" s="17" t="str">
        <x:f>IF(ISNUMBER('Launch plan'!$C$20),IF(AND(BA$6&gt;='Launch plan'!$C$20,BA$6&lt;'Launch plan'!$C$20+7*'Launch plan'!$B$11),"Observe",""),"Inputs needed")</x:f>
      </x:c>
      <x:c r="BB27" s="17" t="str">
        <x:f>IF(ISNUMBER('Launch plan'!$C$20),IF(AND(BB$6&gt;='Launch plan'!$C$20,BB$6&lt;'Launch plan'!$C$20+7*'Launch plan'!$B$11),"Observe",""),"Inputs needed")</x:f>
      </x:c>
      <x:c r="BC27" s="17" t="str">
        <x:f>IF(ISNUMBER('Launch plan'!$C$20),IF(AND(BC$6&gt;='Launch plan'!$C$20,BC$6&lt;'Launch plan'!$C$20+7*'Launch plan'!$B$11),"Observe",""),"Inputs needed")</x:f>
      </x:c>
      <x:c r="BD27" s="17" t="str">
        <x:f>IF(ISNUMBER('Launch plan'!$C$20),IF(AND(BD$6&gt;='Launch plan'!$C$20,BD$6&lt;'Launch plan'!$C$20+7*'Launch plan'!$B$11),"Observe",""),"Inputs needed")</x:f>
      </x:c>
    </x:row>
    <x:row r="28" ht="48" customHeight="1">
      <x:c r="A28" s="8" t="str">
        <x:v>BUF2</x:v>
      </x:c>
      <x:c r="B28" s="8" t="str">
        <x:v>Public decision / fix allowance</x:v>
      </x:c>
      <x:c r="C28" s="8"/>
      <x:c r="D28" s="8"/>
      <x:c r="E28" s="17" t="str">
        <x:f>IF(ISNUMBER('Launch plan'!$C$21),IF(AND(E$6&gt;'Workstreams'!$N$24,E$6&lt;'Launch plan'!$C$21),"Allowance",""),"Inputs needed")</x:f>
      </x:c>
      <x:c r="F28" s="17" t="str">
        <x:f>IF(ISNUMBER('Launch plan'!$C$21),IF(AND(F$6&gt;'Workstreams'!$N$24,F$6&lt;'Launch plan'!$C$21),"Allowance",""),"Inputs needed")</x:f>
      </x:c>
      <x:c r="G28" s="17" t="str">
        <x:f>IF(ISNUMBER('Launch plan'!$C$21),IF(AND(G$6&gt;'Workstreams'!$N$24,G$6&lt;'Launch plan'!$C$21),"Allowance",""),"Inputs needed")</x:f>
      </x:c>
      <x:c r="H28" s="17" t="str">
        <x:f>IF(ISNUMBER('Launch plan'!$C$21),IF(AND(H$6&gt;'Workstreams'!$N$24,H$6&lt;'Launch plan'!$C$21),"Allowance",""),"Inputs needed")</x:f>
      </x:c>
      <x:c r="I28" s="17" t="str">
        <x:f>IF(ISNUMBER('Launch plan'!$C$21),IF(AND(I$6&gt;'Workstreams'!$N$24,I$6&lt;'Launch plan'!$C$21),"Allowance",""),"Inputs needed")</x:f>
      </x:c>
      <x:c r="J28" s="17" t="str">
        <x:f>IF(ISNUMBER('Launch plan'!$C$21),IF(AND(J$6&gt;'Workstreams'!$N$24,J$6&lt;'Launch plan'!$C$21),"Allowance",""),"Inputs needed")</x:f>
      </x:c>
      <x:c r="K28" s="17" t="str">
        <x:f>IF(ISNUMBER('Launch plan'!$C$21),IF(AND(K$6&gt;'Workstreams'!$N$24,K$6&lt;'Launch plan'!$C$21),"Allowance",""),"Inputs needed")</x:f>
      </x:c>
      <x:c r="L28" s="17" t="str">
        <x:f>IF(ISNUMBER('Launch plan'!$C$21),IF(AND(L$6&gt;'Workstreams'!$N$24,L$6&lt;'Launch plan'!$C$21),"Allowance",""),"Inputs needed")</x:f>
      </x:c>
      <x:c r="M28" s="17" t="str">
        <x:f>IF(ISNUMBER('Launch plan'!$C$21),IF(AND(M$6&gt;'Workstreams'!$N$24,M$6&lt;'Launch plan'!$C$21),"Allowance",""),"Inputs needed")</x:f>
      </x:c>
      <x:c r="N28" s="17" t="str">
        <x:f>IF(ISNUMBER('Launch plan'!$C$21),IF(AND(N$6&gt;'Workstreams'!$N$24,N$6&lt;'Launch plan'!$C$21),"Allowance",""),"Inputs needed")</x:f>
      </x:c>
      <x:c r="O28" s="17" t="str">
        <x:f>IF(ISNUMBER('Launch plan'!$C$21),IF(AND(O$6&gt;'Workstreams'!$N$24,O$6&lt;'Launch plan'!$C$21),"Allowance",""),"Inputs needed")</x:f>
      </x:c>
      <x:c r="P28" s="17" t="str">
        <x:f>IF(ISNUMBER('Launch plan'!$C$21),IF(AND(P$6&gt;'Workstreams'!$N$24,P$6&lt;'Launch plan'!$C$21),"Allowance",""),"Inputs needed")</x:f>
      </x:c>
      <x:c r="Q28" s="17" t="str">
        <x:f>IF(ISNUMBER('Launch plan'!$C$21),IF(AND(Q$6&gt;'Workstreams'!$N$24,Q$6&lt;'Launch plan'!$C$21),"Allowance",""),"Inputs needed")</x:f>
      </x:c>
      <x:c r="R28" s="17" t="str">
        <x:f>IF(ISNUMBER('Launch plan'!$C$21),IF(AND(R$6&gt;'Workstreams'!$N$24,R$6&lt;'Launch plan'!$C$21),"Allowance",""),"Inputs needed")</x:f>
      </x:c>
      <x:c r="S28" s="17" t="str">
        <x:f>IF(ISNUMBER('Launch plan'!$C$21),IF(AND(S$6&gt;'Workstreams'!$N$24,S$6&lt;'Launch plan'!$C$21),"Allowance",""),"Inputs needed")</x:f>
      </x:c>
      <x:c r="T28" s="17" t="str">
        <x:f>IF(ISNUMBER('Launch plan'!$C$21),IF(AND(T$6&gt;'Workstreams'!$N$24,T$6&lt;'Launch plan'!$C$21),"Allowance",""),"Inputs needed")</x:f>
      </x:c>
      <x:c r="U28" s="17" t="str">
        <x:f>IF(ISNUMBER('Launch plan'!$C$21),IF(AND(U$6&gt;'Workstreams'!$N$24,U$6&lt;'Launch plan'!$C$21),"Allowance",""),"Inputs needed")</x:f>
      </x:c>
      <x:c r="V28" s="17" t="str">
        <x:f>IF(ISNUMBER('Launch plan'!$C$21),IF(AND(V$6&gt;'Workstreams'!$N$24,V$6&lt;'Launch plan'!$C$21),"Allowance",""),"Inputs needed")</x:f>
      </x:c>
      <x:c r="W28" s="17" t="str">
        <x:f>IF(ISNUMBER('Launch plan'!$C$21),IF(AND(W$6&gt;'Workstreams'!$N$24,W$6&lt;'Launch plan'!$C$21),"Allowance",""),"Inputs needed")</x:f>
      </x:c>
      <x:c r="X28" s="17" t="str">
        <x:f>IF(ISNUMBER('Launch plan'!$C$21),IF(AND(X$6&gt;'Workstreams'!$N$24,X$6&lt;'Launch plan'!$C$21),"Allowance",""),"Inputs needed")</x:f>
      </x:c>
      <x:c r="Y28" s="17" t="str">
        <x:f>IF(ISNUMBER('Launch plan'!$C$21),IF(AND(Y$6&gt;'Workstreams'!$N$24,Y$6&lt;'Launch plan'!$C$21),"Allowance",""),"Inputs needed")</x:f>
      </x:c>
      <x:c r="Z28" s="17" t="str">
        <x:f>IF(ISNUMBER('Launch plan'!$C$21),IF(AND(Z$6&gt;'Workstreams'!$N$24,Z$6&lt;'Launch plan'!$C$21),"Allowance",""),"Inputs needed")</x:f>
      </x:c>
      <x:c r="AA28" s="17" t="str">
        <x:f>IF(ISNUMBER('Launch plan'!$C$21),IF(AND(AA$6&gt;'Workstreams'!$N$24,AA$6&lt;'Launch plan'!$C$21),"Allowance",""),"Inputs needed")</x:f>
      </x:c>
      <x:c r="AB28" s="17" t="str">
        <x:f>IF(ISNUMBER('Launch plan'!$C$21),IF(AND(AB$6&gt;'Workstreams'!$N$24,AB$6&lt;'Launch plan'!$C$21),"Allowance",""),"Inputs needed")</x:f>
      </x:c>
      <x:c r="AC28" s="17" t="str">
        <x:f>IF(ISNUMBER('Launch plan'!$C$21),IF(AND(AC$6&gt;'Workstreams'!$N$24,AC$6&lt;'Launch plan'!$C$21),"Allowance",""),"Inputs needed")</x:f>
      </x:c>
      <x:c r="AD28" s="17" t="str">
        <x:f>IF(ISNUMBER('Launch plan'!$C$21),IF(AND(AD$6&gt;'Workstreams'!$N$24,AD$6&lt;'Launch plan'!$C$21),"Allowance",""),"Inputs needed")</x:f>
        <x:v>Allowance</x:v>
      </x:c>
      <x:c r="AE28" s="17" t="str">
        <x:f>IF(ISNUMBER('Launch plan'!$C$21),IF(AND(AE$6&gt;'Workstreams'!$N$24,AE$6&lt;'Launch plan'!$C$21),"Allowance",""),"Inputs needed")</x:f>
      </x:c>
      <x:c r="AF28" s="17" t="str">
        <x:f>IF(ISNUMBER('Launch plan'!$C$21),IF(AND(AF$6&gt;'Workstreams'!$N$24,AF$6&lt;'Launch plan'!$C$21),"Allowance",""),"Inputs needed")</x:f>
      </x:c>
      <x:c r="AG28" s="17" t="str">
        <x:f>IF(ISNUMBER('Launch plan'!$C$21),IF(AND(AG$6&gt;'Workstreams'!$N$24,AG$6&lt;'Launch plan'!$C$21),"Allowance",""),"Inputs needed")</x:f>
      </x:c>
      <x:c r="AH28" s="17" t="str">
        <x:f>IF(ISNUMBER('Launch plan'!$C$21),IF(AND(AH$6&gt;'Workstreams'!$N$24,AH$6&lt;'Launch plan'!$C$21),"Allowance",""),"Inputs needed")</x:f>
      </x:c>
      <x:c r="AI28" s="17" t="str">
        <x:f>IF(ISNUMBER('Launch plan'!$C$21),IF(AND(AI$6&gt;'Workstreams'!$N$24,AI$6&lt;'Launch plan'!$C$21),"Allowance",""),"Inputs needed")</x:f>
      </x:c>
      <x:c r="AJ28" s="17" t="str">
        <x:f>IF(ISNUMBER('Launch plan'!$C$21),IF(AND(AJ$6&gt;'Workstreams'!$N$24,AJ$6&lt;'Launch plan'!$C$21),"Allowance",""),"Inputs needed")</x:f>
      </x:c>
      <x:c r="AK28" s="17" t="str">
        <x:f>IF(ISNUMBER('Launch plan'!$C$21),IF(AND(AK$6&gt;'Workstreams'!$N$24,AK$6&lt;'Launch plan'!$C$21),"Allowance",""),"Inputs needed")</x:f>
      </x:c>
      <x:c r="AL28" s="17" t="str">
        <x:f>IF(ISNUMBER('Launch plan'!$C$21),IF(AND(AL$6&gt;'Workstreams'!$N$24,AL$6&lt;'Launch plan'!$C$21),"Allowance",""),"Inputs needed")</x:f>
      </x:c>
      <x:c r="AM28" s="17" t="str">
        <x:f>IF(ISNUMBER('Launch plan'!$C$21),IF(AND(AM$6&gt;'Workstreams'!$N$24,AM$6&lt;'Launch plan'!$C$21),"Allowance",""),"Inputs needed")</x:f>
      </x:c>
      <x:c r="AN28" s="17" t="str">
        <x:f>IF(ISNUMBER('Launch plan'!$C$21),IF(AND(AN$6&gt;'Workstreams'!$N$24,AN$6&lt;'Launch plan'!$C$21),"Allowance",""),"Inputs needed")</x:f>
      </x:c>
      <x:c r="AO28" s="17" t="str">
        <x:f>IF(ISNUMBER('Launch plan'!$C$21),IF(AND(AO$6&gt;'Workstreams'!$N$24,AO$6&lt;'Launch plan'!$C$21),"Allowance",""),"Inputs needed")</x:f>
      </x:c>
      <x:c r="AP28" s="17" t="str">
        <x:f>IF(ISNUMBER('Launch plan'!$C$21),IF(AND(AP$6&gt;'Workstreams'!$N$24,AP$6&lt;'Launch plan'!$C$21),"Allowance",""),"Inputs needed")</x:f>
      </x:c>
      <x:c r="AQ28" s="17" t="str">
        <x:f>IF(ISNUMBER('Launch plan'!$C$21),IF(AND(AQ$6&gt;'Workstreams'!$N$24,AQ$6&lt;'Launch plan'!$C$21),"Allowance",""),"Inputs needed")</x:f>
      </x:c>
      <x:c r="AR28" s="17" t="str">
        <x:f>IF(ISNUMBER('Launch plan'!$C$21),IF(AND(AR$6&gt;'Workstreams'!$N$24,AR$6&lt;'Launch plan'!$C$21),"Allowance",""),"Inputs needed")</x:f>
      </x:c>
      <x:c r="AS28" s="17" t="str">
        <x:f>IF(ISNUMBER('Launch plan'!$C$21),IF(AND(AS$6&gt;'Workstreams'!$N$24,AS$6&lt;'Launch plan'!$C$21),"Allowance",""),"Inputs needed")</x:f>
      </x:c>
      <x:c r="AT28" s="17" t="str">
        <x:f>IF(ISNUMBER('Launch plan'!$C$21),IF(AND(AT$6&gt;'Workstreams'!$N$24,AT$6&lt;'Launch plan'!$C$21),"Allowance",""),"Inputs needed")</x:f>
      </x:c>
      <x:c r="AU28" s="17" t="str">
        <x:f>IF(ISNUMBER('Launch plan'!$C$21),IF(AND(AU$6&gt;'Workstreams'!$N$24,AU$6&lt;'Launch plan'!$C$21),"Allowance",""),"Inputs needed")</x:f>
      </x:c>
      <x:c r="AV28" s="17" t="str">
        <x:f>IF(ISNUMBER('Launch plan'!$C$21),IF(AND(AV$6&gt;'Workstreams'!$N$24,AV$6&lt;'Launch plan'!$C$21),"Allowance",""),"Inputs needed")</x:f>
      </x:c>
      <x:c r="AW28" s="17" t="str">
        <x:f>IF(ISNUMBER('Launch plan'!$C$21),IF(AND(AW$6&gt;'Workstreams'!$N$24,AW$6&lt;'Launch plan'!$C$21),"Allowance",""),"Inputs needed")</x:f>
      </x:c>
      <x:c r="AX28" s="17" t="str">
        <x:f>IF(ISNUMBER('Launch plan'!$C$21),IF(AND(AX$6&gt;'Workstreams'!$N$24,AX$6&lt;'Launch plan'!$C$21),"Allowance",""),"Inputs needed")</x:f>
      </x:c>
      <x:c r="AY28" s="17" t="str">
        <x:f>IF(ISNUMBER('Launch plan'!$C$21),IF(AND(AY$6&gt;'Workstreams'!$N$24,AY$6&lt;'Launch plan'!$C$21),"Allowance",""),"Inputs needed")</x:f>
      </x:c>
      <x:c r="AZ28" s="17" t="str">
        <x:f>IF(ISNUMBER('Launch plan'!$C$21),IF(AND(AZ$6&gt;'Workstreams'!$N$24,AZ$6&lt;'Launch plan'!$C$21),"Allowance",""),"Inputs needed")</x:f>
      </x:c>
      <x:c r="BA28" s="17" t="str">
        <x:f>IF(ISNUMBER('Launch plan'!$C$21),IF(AND(BA$6&gt;'Workstreams'!$N$24,BA$6&lt;'Launch plan'!$C$21),"Allowance",""),"Inputs needed")</x:f>
      </x:c>
      <x:c r="BB28" s="17" t="str">
        <x:f>IF(ISNUMBER('Launch plan'!$C$21),IF(AND(BB$6&gt;'Workstreams'!$N$24,BB$6&lt;'Launch plan'!$C$21),"Allowance",""),"Inputs needed")</x:f>
      </x:c>
      <x:c r="BC28" s="17" t="str">
        <x:f>IF(ISNUMBER('Launch plan'!$C$21),IF(AND(BC$6&gt;'Workstreams'!$N$24,BC$6&lt;'Launch plan'!$C$21),"Allowance",""),"Inputs needed")</x:f>
      </x:c>
      <x:c r="BD28" s="17" t="str">
        <x:f>IF(ISNUMBER('Launch plan'!$C$21),IF(AND(BD$6&gt;'Workstreams'!$N$24,BD$6&lt;'Launch plan'!$C$21),"Allowance",""),"Inputs needed")</x:f>
      </x:c>
    </x:row>
    <x:row r="29" ht="48" customHeight="1">
      <x:c r="A29" s="8"/>
      <x:c r="B29" s="8"/>
      <x:c r="C29" s="8"/>
      <x:c r="D29" s="8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  <x:c r="AA29" s="17"/>
      <x:c r="AB29" s="17"/>
      <x:c r="AC29" s="17"/>
      <x:c r="AD29" s="17"/>
      <x:c r="AE29" s="17"/>
      <x:c r="AF29" s="17"/>
      <x:c r="AG29" s="17"/>
      <x:c r="AH29" s="17"/>
      <x:c r="AI29" s="17"/>
      <x:c r="AJ29" s="17"/>
      <x:c r="AK29" s="17"/>
      <x:c r="AL29" s="17"/>
      <x:c r="AM29" s="17"/>
      <x:c r="AN29" s="17"/>
      <x:c r="AO29" s="17"/>
      <x:c r="AP29" s="17"/>
      <x:c r="AQ29" s="17"/>
      <x:c r="AR29" s="17"/>
      <x:c r="AS29" s="17"/>
      <x:c r="AT29" s="17"/>
      <x:c r="AU29" s="17"/>
      <x:c r="AV29" s="17"/>
      <x:c r="AW29" s="17"/>
      <x:c r="AX29" s="17"/>
      <x:c r="AY29" s="17"/>
      <x:c r="AZ29" s="17"/>
      <x:c r="BA29" s="17"/>
      <x:c r="BB29" s="17"/>
      <x:c r="BC29" s="17"/>
      <x:c r="BD29" s="17"/>
    </x:row>
    <x:row r="30" ht="48" customHeight="1">
      <x:c r="A30" s="8" t="str">
        <x:v>START</x:v>
      </x:c>
      <x:c r="B30" s="8" t="str">
        <x:v>Private pilot target</x:v>
      </x:c>
      <x:c r="C30" s="8"/>
      <x:c r="D30" s="8"/>
      <x:c r="E30" s="17" t="str">
        <x:f>IF(E$6='Launch plan'!$C$20,"Pilot","")</x:f>
      </x:c>
      <x:c r="F30" s="17" t="str">
        <x:f>IF(F$6='Launch plan'!$C$20,"Pilot","")</x:f>
      </x:c>
      <x:c r="G30" s="17" t="str">
        <x:f>IF(G$6='Launch plan'!$C$20,"Pilot","")</x:f>
      </x:c>
      <x:c r="H30" s="17" t="str">
        <x:f>IF(H$6='Launch plan'!$C$20,"Pilot","")</x:f>
      </x:c>
      <x:c r="I30" s="17" t="str">
        <x:f>IF(I$6='Launch plan'!$C$20,"Pilot","")</x:f>
      </x:c>
      <x:c r="J30" s="17" t="str">
        <x:f>IF(J$6='Launch plan'!$C$20,"Pilot","")</x:f>
      </x:c>
      <x:c r="K30" s="17" t="str">
        <x:f>IF(K$6='Launch plan'!$C$20,"Pilot","")</x:f>
      </x:c>
      <x:c r="L30" s="17" t="str">
        <x:f>IF(L$6='Launch plan'!$C$20,"Pilot","")</x:f>
      </x:c>
      <x:c r="M30" s="17" t="str">
        <x:f>IF(M$6='Launch plan'!$C$20,"Pilot","")</x:f>
      </x:c>
      <x:c r="N30" s="17" t="str">
        <x:f>IF(N$6='Launch plan'!$C$20,"Pilot","")</x:f>
      </x:c>
      <x:c r="O30" s="17" t="str">
        <x:f>IF(O$6='Launch plan'!$C$20,"Pilot","")</x:f>
      </x:c>
      <x:c r="P30" s="17" t="str">
        <x:f>IF(P$6='Launch plan'!$C$20,"Pilot","")</x:f>
      </x:c>
      <x:c r="Q30" s="17" t="str">
        <x:f>IF(Q$6='Launch plan'!$C$20,"Pilot","")</x:f>
      </x:c>
      <x:c r="R30" s="17" t="str">
        <x:f>IF(R$6='Launch plan'!$C$20,"Pilot","")</x:f>
      </x:c>
      <x:c r="S30" s="17" t="str">
        <x:f>IF(S$6='Launch plan'!$C$20,"Pilot","")</x:f>
      </x:c>
      <x:c r="T30" s="17" t="str">
        <x:f>IF(T$6='Launch plan'!$C$20,"Pilot","")</x:f>
      </x:c>
      <x:c r="U30" s="17" t="str">
        <x:f>IF(U$6='Launch plan'!$C$20,"Pilot","")</x:f>
      </x:c>
      <x:c r="V30" s="17" t="str">
        <x:f>IF(V$6='Launch plan'!$C$20,"Pilot","")</x:f>
      </x:c>
      <x:c r="W30" s="17" t="str">
        <x:f>IF(W$6='Launch plan'!$C$20,"Pilot","")</x:f>
        <x:v>Pilot</x:v>
      </x:c>
      <x:c r="X30" s="17" t="str">
        <x:f>IF(X$6='Launch plan'!$C$20,"Pilot","")</x:f>
      </x:c>
      <x:c r="Y30" s="17" t="str">
        <x:f>IF(Y$6='Launch plan'!$C$20,"Pilot","")</x:f>
      </x:c>
      <x:c r="Z30" s="17" t="str">
        <x:f>IF(Z$6='Launch plan'!$C$20,"Pilot","")</x:f>
      </x:c>
      <x:c r="AA30" s="17" t="str">
        <x:f>IF(AA$6='Launch plan'!$C$20,"Pilot","")</x:f>
      </x:c>
      <x:c r="AB30" s="17" t="str">
        <x:f>IF(AB$6='Launch plan'!$C$20,"Pilot","")</x:f>
      </x:c>
      <x:c r="AC30" s="17" t="str">
        <x:f>IF(AC$6='Launch plan'!$C$20,"Pilot","")</x:f>
      </x:c>
      <x:c r="AD30" s="17" t="str">
        <x:f>IF(AD$6='Launch plan'!$C$20,"Pilot","")</x:f>
      </x:c>
      <x:c r="AE30" s="17" t="str">
        <x:f>IF(AE$6='Launch plan'!$C$20,"Pilot","")</x:f>
      </x:c>
      <x:c r="AF30" s="17" t="str">
        <x:f>IF(AF$6='Launch plan'!$C$20,"Pilot","")</x:f>
      </x:c>
      <x:c r="AG30" s="17" t="str">
        <x:f>IF(AG$6='Launch plan'!$C$20,"Pilot","")</x:f>
      </x:c>
      <x:c r="AH30" s="17" t="str">
        <x:f>IF(AH$6='Launch plan'!$C$20,"Pilot","")</x:f>
      </x:c>
      <x:c r="AI30" s="17" t="str">
        <x:f>IF(AI$6='Launch plan'!$C$20,"Pilot","")</x:f>
      </x:c>
      <x:c r="AJ30" s="17" t="str">
        <x:f>IF(AJ$6='Launch plan'!$C$20,"Pilot","")</x:f>
      </x:c>
      <x:c r="AK30" s="17" t="str">
        <x:f>IF(AK$6='Launch plan'!$C$20,"Pilot","")</x:f>
      </x:c>
      <x:c r="AL30" s="17" t="str">
        <x:f>IF(AL$6='Launch plan'!$C$20,"Pilot","")</x:f>
      </x:c>
      <x:c r="AM30" s="17" t="str">
        <x:f>IF(AM$6='Launch plan'!$C$20,"Pilot","")</x:f>
      </x:c>
      <x:c r="AN30" s="17" t="str">
        <x:f>IF(AN$6='Launch plan'!$C$20,"Pilot","")</x:f>
      </x:c>
      <x:c r="AO30" s="17" t="str">
        <x:f>IF(AO$6='Launch plan'!$C$20,"Pilot","")</x:f>
      </x:c>
      <x:c r="AP30" s="17" t="str">
        <x:f>IF(AP$6='Launch plan'!$C$20,"Pilot","")</x:f>
      </x:c>
      <x:c r="AQ30" s="17" t="str">
        <x:f>IF(AQ$6='Launch plan'!$C$20,"Pilot","")</x:f>
      </x:c>
      <x:c r="AR30" s="17" t="str">
        <x:f>IF(AR$6='Launch plan'!$C$20,"Pilot","")</x:f>
      </x:c>
      <x:c r="AS30" s="17" t="str">
        <x:f>IF(AS$6='Launch plan'!$C$20,"Pilot","")</x:f>
      </x:c>
      <x:c r="AT30" s="17" t="str">
        <x:f>IF(AT$6='Launch plan'!$C$20,"Pilot","")</x:f>
      </x:c>
      <x:c r="AU30" s="17" t="str">
        <x:f>IF(AU$6='Launch plan'!$C$20,"Pilot","")</x:f>
      </x:c>
      <x:c r="AV30" s="17" t="str">
        <x:f>IF(AV$6='Launch plan'!$C$20,"Pilot","")</x:f>
      </x:c>
      <x:c r="AW30" s="17" t="str">
        <x:f>IF(AW$6='Launch plan'!$C$20,"Pilot","")</x:f>
      </x:c>
      <x:c r="AX30" s="17" t="str">
        <x:f>IF(AX$6='Launch plan'!$C$20,"Pilot","")</x:f>
      </x:c>
      <x:c r="AY30" s="17" t="str">
        <x:f>IF(AY$6='Launch plan'!$C$20,"Pilot","")</x:f>
      </x:c>
      <x:c r="AZ30" s="17" t="str">
        <x:f>IF(AZ$6='Launch plan'!$C$20,"Pilot","")</x:f>
      </x:c>
      <x:c r="BA30" s="17" t="str">
        <x:f>IF(BA$6='Launch plan'!$C$20,"Pilot","")</x:f>
      </x:c>
      <x:c r="BB30" s="17" t="str">
        <x:f>IF(BB$6='Launch plan'!$C$20,"Pilot","")</x:f>
      </x:c>
      <x:c r="BC30" s="17" t="str">
        <x:f>IF(BC$6='Launch plan'!$C$20,"Pilot","")</x:f>
      </x:c>
      <x:c r="BD30" s="17" t="str">
        <x:f>IF(BD$6='Launch plan'!$C$20,"Pilot","")</x:f>
      </x:c>
    </x:row>
    <x:row r="31" ht="48" customHeight="1">
      <x:c r="A31" s="8" t="str">
        <x:v>START</x:v>
      </x:c>
      <x:c r="B31" s="8" t="str">
        <x:v>Public release target</x:v>
      </x:c>
      <x:c r="C31" s="8"/>
      <x:c r="D31" s="8"/>
      <x:c r="E31" s="17" t="str">
        <x:f>IF(E$6='Launch plan'!$C$21,"Public","")</x:f>
      </x:c>
      <x:c r="F31" s="17" t="str">
        <x:f>IF(F$6='Launch plan'!$C$21,"Public","")</x:f>
      </x:c>
      <x:c r="G31" s="17" t="str">
        <x:f>IF(G$6='Launch plan'!$C$21,"Public","")</x:f>
      </x:c>
      <x:c r="H31" s="17" t="str">
        <x:f>IF(H$6='Launch plan'!$C$21,"Public","")</x:f>
      </x:c>
      <x:c r="I31" s="17" t="str">
        <x:f>IF(I$6='Launch plan'!$C$21,"Public","")</x:f>
      </x:c>
      <x:c r="J31" s="17" t="str">
        <x:f>IF(J$6='Launch plan'!$C$21,"Public","")</x:f>
      </x:c>
      <x:c r="K31" s="17" t="str">
        <x:f>IF(K$6='Launch plan'!$C$21,"Public","")</x:f>
      </x:c>
      <x:c r="L31" s="17" t="str">
        <x:f>IF(L$6='Launch plan'!$C$21,"Public","")</x:f>
      </x:c>
      <x:c r="M31" s="17" t="str">
        <x:f>IF(M$6='Launch plan'!$C$21,"Public","")</x:f>
      </x:c>
      <x:c r="N31" s="17" t="str">
        <x:f>IF(N$6='Launch plan'!$C$21,"Public","")</x:f>
      </x:c>
      <x:c r="O31" s="17" t="str">
        <x:f>IF(O$6='Launch plan'!$C$21,"Public","")</x:f>
      </x:c>
      <x:c r="P31" s="17" t="str">
        <x:f>IF(P$6='Launch plan'!$C$21,"Public","")</x:f>
      </x:c>
      <x:c r="Q31" s="17" t="str">
        <x:f>IF(Q$6='Launch plan'!$C$21,"Public","")</x:f>
      </x:c>
      <x:c r="R31" s="17" t="str">
        <x:f>IF(R$6='Launch plan'!$C$21,"Public","")</x:f>
      </x:c>
      <x:c r="S31" s="17" t="str">
        <x:f>IF(S$6='Launch plan'!$C$21,"Public","")</x:f>
      </x:c>
      <x:c r="T31" s="17" t="str">
        <x:f>IF(T$6='Launch plan'!$C$21,"Public","")</x:f>
      </x:c>
      <x:c r="U31" s="17" t="str">
        <x:f>IF(U$6='Launch plan'!$C$21,"Public","")</x:f>
      </x:c>
      <x:c r="V31" s="17" t="str">
        <x:f>IF(V$6='Launch plan'!$C$21,"Public","")</x:f>
      </x:c>
      <x:c r="W31" s="17" t="str">
        <x:f>IF(W$6='Launch plan'!$C$21,"Public","")</x:f>
      </x:c>
      <x:c r="X31" s="17" t="str">
        <x:f>IF(X$6='Launch plan'!$C$21,"Public","")</x:f>
      </x:c>
      <x:c r="Y31" s="17" t="str">
        <x:f>IF(Y$6='Launch plan'!$C$21,"Public","")</x:f>
      </x:c>
      <x:c r="Z31" s="17" t="str">
        <x:f>IF(Z$6='Launch plan'!$C$21,"Public","")</x:f>
      </x:c>
      <x:c r="AA31" s="17" t="str">
        <x:f>IF(AA$6='Launch plan'!$C$21,"Public","")</x:f>
      </x:c>
      <x:c r="AB31" s="17" t="str">
        <x:f>IF(AB$6='Launch plan'!$C$21,"Public","")</x:f>
      </x:c>
      <x:c r="AC31" s="17" t="str">
        <x:f>IF(AC$6='Launch plan'!$C$21,"Public","")</x:f>
      </x:c>
      <x:c r="AD31" s="17" t="str">
        <x:f>IF(AD$6='Launch plan'!$C$21,"Public","")</x:f>
      </x:c>
      <x:c r="AE31" s="17" t="str">
        <x:f>IF(AE$6='Launch plan'!$C$21,"Public","")</x:f>
        <x:v>Public</x:v>
      </x:c>
      <x:c r="AF31" s="17" t="str">
        <x:f>IF(AF$6='Launch plan'!$C$21,"Public","")</x:f>
      </x:c>
      <x:c r="AG31" s="17" t="str">
        <x:f>IF(AG$6='Launch plan'!$C$21,"Public","")</x:f>
      </x:c>
      <x:c r="AH31" s="17" t="str">
        <x:f>IF(AH$6='Launch plan'!$C$21,"Public","")</x:f>
      </x:c>
      <x:c r="AI31" s="17" t="str">
        <x:f>IF(AI$6='Launch plan'!$C$21,"Public","")</x:f>
      </x:c>
      <x:c r="AJ31" s="17" t="str">
        <x:f>IF(AJ$6='Launch plan'!$C$21,"Public","")</x:f>
      </x:c>
      <x:c r="AK31" s="17" t="str">
        <x:f>IF(AK$6='Launch plan'!$C$21,"Public","")</x:f>
      </x:c>
      <x:c r="AL31" s="17" t="str">
        <x:f>IF(AL$6='Launch plan'!$C$21,"Public","")</x:f>
      </x:c>
      <x:c r="AM31" s="17" t="str">
        <x:f>IF(AM$6='Launch plan'!$C$21,"Public","")</x:f>
      </x:c>
      <x:c r="AN31" s="17" t="str">
        <x:f>IF(AN$6='Launch plan'!$C$21,"Public","")</x:f>
      </x:c>
      <x:c r="AO31" s="17" t="str">
        <x:f>IF(AO$6='Launch plan'!$C$21,"Public","")</x:f>
      </x:c>
      <x:c r="AP31" s="17" t="str">
        <x:f>IF(AP$6='Launch plan'!$C$21,"Public","")</x:f>
      </x:c>
      <x:c r="AQ31" s="17" t="str">
        <x:f>IF(AQ$6='Launch plan'!$C$21,"Public","")</x:f>
      </x:c>
      <x:c r="AR31" s="17" t="str">
        <x:f>IF(AR$6='Launch plan'!$C$21,"Public","")</x:f>
      </x:c>
      <x:c r="AS31" s="17" t="str">
        <x:f>IF(AS$6='Launch plan'!$C$21,"Public","")</x:f>
      </x:c>
      <x:c r="AT31" s="17" t="str">
        <x:f>IF(AT$6='Launch plan'!$C$21,"Public","")</x:f>
      </x:c>
      <x:c r="AU31" s="17" t="str">
        <x:f>IF(AU$6='Launch plan'!$C$21,"Public","")</x:f>
      </x:c>
      <x:c r="AV31" s="17" t="str">
        <x:f>IF(AV$6='Launch plan'!$C$21,"Public","")</x:f>
      </x:c>
      <x:c r="AW31" s="17" t="str">
        <x:f>IF(AW$6='Launch plan'!$C$21,"Public","")</x:f>
      </x:c>
      <x:c r="AX31" s="17" t="str">
        <x:f>IF(AX$6='Launch plan'!$C$21,"Public","")</x:f>
      </x:c>
      <x:c r="AY31" s="17" t="str">
        <x:f>IF(AY$6='Launch plan'!$C$21,"Public","")</x:f>
      </x:c>
      <x:c r="AZ31" s="17" t="str">
        <x:f>IF(AZ$6='Launch plan'!$C$21,"Public","")</x:f>
      </x:c>
      <x:c r="BA31" s="17" t="str">
        <x:f>IF(BA$6='Launch plan'!$C$21,"Public","")</x:f>
      </x:c>
      <x:c r="BB31" s="17" t="str">
        <x:f>IF(BB$6='Launch plan'!$C$21,"Public","")</x:f>
      </x:c>
      <x:c r="BC31" s="17" t="str">
        <x:f>IF(BC$6='Launch plan'!$C$21,"Public","")</x:f>
      </x:c>
      <x:c r="BD31" s="17" t="str">
        <x:f>IF(BD$6='Launch plan'!$C$21,"Public","")</x:f>
      </x:c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</x:row>
  </x:sheetData>
  <x:conditionalFormatting sqref="E7:BD31">
    <x:cfRule type="containsText" dxfId="16" priority="1" operator="containsText" text="Plan"/>
    <x:cfRule type="containsText" dxfId="17" priority="2" operator="containsText" text="Done"/>
    <x:cfRule type="containsText" dxfId="18" priority="3" operator="containsText" text="Observe"/>
    <x:cfRule type="containsText" dxfId="19" priority="4" operator="containsText" text="Allowance"/>
    <x:cfRule type="containsText" dxfId="20" priority="5" operator="containsText" text="Pilot"/>
    <x:cfRule type="containsText" dxfId="21" priority="6" operator="containsText" text="Public"/>
    <x:cfRule type="containsText" dxfId="22" priority="7" operator="containsText" text="Inputs needed"/>
  </x:conditionalFormatting>
  <x:conditionalFormatting sqref="D7:D24">
    <x:cfRule type="containsText" dxfId="23" priority="8" operator="containsText" text="Release blocker"/>
    <x:cfRule type="containsText" dxfId="24" priority="9" operator="containsText" text="Blocked integration"/>
    <x:cfRule type="containsText" dxfId="25" priority="10" operator="containsText" text="Pending"/>
    <x:cfRule type="containsText" dxfId="26" priority="11" operator="containsText" text="Awaiting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" hidden="0" customWidth="1"/>
    <x:col min="2" max="2" width="29" hidden="0" customWidth="1"/>
    <x:col min="3" max="3" width="19" hidden="0" customWidth="1"/>
    <x:col min="4" max="4" width="23" hidden="0" customWidth="1"/>
    <x:col min="5" max="5" width="49" hidden="0" customWidth="1"/>
    <x:col min="6" max="6" width="58" hidden="0" customWidth="1"/>
    <x:col min="7" max="7" width="15" hidden="0" customWidth="1"/>
    <x:col min="8" max="8" width="22" hidden="0" customWidth="1"/>
    <x:col min="9" max="9" width="15" hidden="0" customWidth="1"/>
    <x:col min="10" max="10" width="3" hidden="0" customWidth="1"/>
    <x:col min="11" max="11" width="6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6" customHeight="1">
      <x:c r="A2" s="3" t="str">
        <x:v>70-area feature assessment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 t="str">
        <x:v>Static source findings. Customer-release acceptance is unverified. Pilot inclusion and deferral are proposals until Lee confirms scope.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4" customHeight="1">
      <x:c r="A6" s="12" t="str">
        <x:v>ID</x:v>
      </x:c>
      <x:c r="B6" s="12" t="str">
        <x:v>Area</x:v>
      </x:c>
      <x:c r="C6" s="12" t="str">
        <x:v>Pilot scope</x:v>
      </x:c>
      <x:c r="D6" s="12" t="str">
        <x:v>Current assessment</x:v>
      </x:c>
      <x:c r="E6" s="12" t="str">
        <x:v>What exists now</x:v>
      </x:c>
      <x:c r="F6" s="12" t="str">
        <x:v>Remaining acceptance requirement</x:v>
      </x:c>
      <x:c r="G6" s="12" t="str">
        <x:v>Workstream</x:v>
      </x:c>
      <x:c r="H6" s="12" t="str">
        <x:v>Customer acceptance</x:v>
      </x:c>
      <x:c r="I6" s="12" t="str">
        <x:v>Prior matrix status</x:v>
      </x:c>
      <x:c r="J6" s="2"/>
      <x:c r="K6" s="12" t="str">
        <x:v>Source</x:v>
      </x:c>
    </x:row>
    <x:row r="7" ht="88" customHeight="1">
      <x:c r="A7" s="8" t="n">
        <x:v>1</x:v>
      </x:c>
      <x:c r="B7" s="8" t="str">
        <x:v>Authentication &amp; onboarding</x:v>
      </x:c>
      <x:c r="C7" s="14" t="str">
        <x:v>Included proposal</x:v>
      </x:c>
      <x:c r="D7" s="8" t="str">
        <x:v>Partial</x:v>
      </x:c>
      <x:c r="E7" s="8" t="str">
        <x:v>Clerk auth, protected routes and setup wizard exist.</x:v>
      </x:c>
      <x:c r="F7" s="8" t="str">
        <x:v>Prove sign-up, recovery, first-company setup, resume and role-specific journeys.</x:v>
      </x:c>
      <x:c r="G7" s="8" t="str">
        <x:v>W11</x:v>
      </x:c>
      <x:c r="H7" s="8" t="str">
        <x:v>Unverified</x:v>
      </x:c>
      <x:c r="I7" s="8" t="str">
        <x:v>B</x:v>
      </x:c>
      <x:c r="J7" s="8"/>
      <x:c r="K7" s="8" t="str">
        <x:v>https://github.com/Future00111/ledgerpoint/blob/085b7e0491d9adbbebcc7e8db384c575bcfa2aca/artifacts/ledgerly/src/lib/AuthContext.jsx</x:v>
      </x:c>
    </x:row>
    <x:row r="8" ht="88" customHeight="1">
      <x:c r="A8" s="8" t="n">
        <x:v>2</x:v>
      </x:c>
      <x:c r="B8" s="8" t="str">
        <x:v>Company management</x:v>
      </x:c>
      <x:c r="C8" s="14" t="str">
        <x:v>Included proposal</x:v>
      </x:c>
      <x:c r="D8" s="8" t="str">
        <x:v>Partial</x:v>
      </x:c>
      <x:c r="E8" s="8" t="str">
        <x:v>Company routes now use active-membership guards. Earlier inactive-member defect label is stale.</x:v>
      </x:c>
      <x:c r="F8" s="8" t="str">
        <x:v>Validate company fields and archive/delete lifecycle; prove every company-management route rejects revoked access.</x:v>
      </x:c>
      <x:c r="G8" s="8" t="str">
        <x:v>W03</x:v>
      </x:c>
      <x:c r="H8" s="8" t="str">
        <x:v>Unverified</x:v>
      </x:c>
      <x:c r="I8" s="8" t="str">
        <x:v>B</x:v>
      </x:c>
      <x:c r="J8" s="8"/>
      <x:c r="K8" s="8" t="str">
        <x:v>https://github.com/Future00111/ledgerpoint/blob/085b7e0491d9adbbebcc7e8db384c575bcfa2aca/artifacts/api-server/src/routes/companies.ts</x:v>
      </x:c>
    </x:row>
    <x:row r="9" ht="88" customHeight="1">
      <x:c r="A9" s="8" t="n">
        <x:v>3</x:v>
      </x:c>
      <x:c r="B9" s="8" t="str">
        <x:v>Users, teams and permissions</x:v>
      </x:c>
      <x:c r="C9" s="14" t="str">
        <x:v>Included proposal</x:v>
      </x:c>
      <x:c r="D9" s="8" t="str">
        <x:v>Partial</x:v>
      </x:c>
      <x:c r="E9" s="8" t="str">
        <x:v>Active-membership checks exist; membership routes still accept arbitrary role strings and generic writes mainly block read_only.</x:v>
      </x:c>
      <x:c r="F9" s="8" t="str">
        <x:v>Enforce approved roles/capabilities, validate role changes and test the full API/UI role matrix.</x:v>
      </x:c>
      <x:c r="G9" s="8" t="str">
        <x:v>W03</x:v>
      </x:c>
      <x:c r="H9" s="8" t="str">
        <x:v>Unverified</x:v>
      </x:c>
      <x:c r="I9" s="8" t="str">
        <x:v>B</x:v>
      </x:c>
      <x:c r="J9" s="8"/>
      <x:c r="K9" s="8" t="str">
        <x:v>https://github.com/Future00111/ledgerpoint/blob/085b7e0491d9adbbebcc7e8db384c575bcfa2aca/artifacts/api-server/src/routes/companies.ts</x:v>
      </x:c>
    </x:row>
    <x:row r="10" ht="88" customHeight="1">
      <x:c r="A10" s="8" t="n">
        <x:v>4</x:v>
      </x:c>
      <x:c r="B10" s="8" t="str">
        <x:v>Dashboard</x:v>
      </x:c>
      <x:c r="C10" s="14" t="str">
        <x:v>Included proposal</x:v>
      </x:c>
      <x:c r="D10" s="8" t="str">
        <x:v>Partial</x:v>
      </x:c>
      <x:c r="E10" s="8" t="str">
        <x:v>Dashboard and widgets exist, drawing from operational records.</x:v>
      </x:c>
      <x:c r="F10" s="8" t="str">
        <x:v>Define each metric, derive financial values from accepted journals and prove drill-down parity.</x:v>
      </x:c>
      <x:c r="G10" s="8" t="str">
        <x:v>W09</x:v>
      </x:c>
      <x:c r="H10" s="8" t="str">
        <x:v>Unverified</x:v>
      </x:c>
      <x:c r="I10" s="8" t="str">
        <x:v>B</x:v>
      </x:c>
      <x:c r="J10" s="8"/>
      <x:c r="K10" s="8" t="str">
        <x:v>https://github.com/Future00111/ledgerpoint/blob/085b7e0491d9adbbebcc7e8db384c575bcfa2aca/artifacts/ledgerly/src/pages/Dashboard.jsx</x:v>
      </x:c>
    </x:row>
    <x:row r="11" ht="88" customHeight="1">
      <x:c r="A11" s="8" t="n">
        <x:v>5</x:v>
      </x:c>
      <x:c r="B11" s="8" t="str">
        <x:v>Customers</x:v>
      </x:c>
      <x:c r="C11" s="14" t="str">
        <x:v>Included proposal</x:v>
      </x:c>
      <x:c r="D11" s="8" t="str">
        <x:v>Partial</x:v>
      </x:c>
      <x:c r="E11" s="8" t="str">
        <x:v>Customer CRUD and invoice selection exist.</x:v>
      </x:c>
      <x:c r="F11" s="8" t="str">
        <x:v>Validate party contracts; reconcile customer balances/statements and complete the core workspace/Ask journey.</x:v>
      </x:c>
      <x:c r="G11" s="8" t="str">
        <x:v>W06</x:v>
      </x:c>
      <x:c r="H11" s="8" t="str">
        <x:v>Unverified</x:v>
      </x:c>
      <x:c r="I11" s="8" t="str">
        <x:v>B</x:v>
      </x:c>
      <x:c r="J11" s="8"/>
      <x:c r="K11" s="8" t="str">
        <x:v>https://github.com/Future00111/ledgerpoint/blob/085b7e0491d9adbbebcc7e8db384c575bcfa2aca/artifacts/ledgerly/src/pages/Customers.jsx</x:v>
      </x:c>
    </x:row>
    <x:row r="12" ht="88" customHeight="1">
      <x:c r="A12" s="8" t="n">
        <x:v>6</x:v>
      </x:c>
      <x:c r="B12" s="8" t="str">
        <x:v>Suppliers</x:v>
      </x:c>
      <x:c r="C12" s="14" t="str">
        <x:v>Included proposal</x:v>
      </x:c>
      <x:c r="D12" s="8" t="str">
        <x:v>Partial</x:v>
      </x:c>
      <x:c r="E12" s="8" t="str">
        <x:v>Supplier CRUD and bill selection exist.</x:v>
      </x:c>
      <x:c r="F12" s="8" t="str">
        <x:v>Validate party contracts; reconcile supplier balances/statements and complete the core workspace/Ask journey.</x:v>
      </x:c>
      <x:c r="G12" s="8" t="str">
        <x:v>W06</x:v>
      </x:c>
      <x:c r="H12" s="8" t="str">
        <x:v>Unverified</x:v>
      </x:c>
      <x:c r="I12" s="8" t="str">
        <x:v>B</x:v>
      </x:c>
      <x:c r="J12" s="8"/>
      <x:c r="K12" s="8" t="str">
        <x:v>https://github.com/Future00111/ledgerpoint/blob/085b7e0491d9adbbebcc7e8db384c575bcfa2aca/artifacts/ledgerly/src/pages/Suppliers.jsx</x:v>
      </x:c>
    </x:row>
    <x:row r="13" ht="88" customHeight="1">
      <x:c r="A13" s="8" t="n">
        <x:v>7</x:v>
      </x:c>
      <x:c r="B13" s="8" t="str">
        <x:v>Contacts</x:v>
      </x:c>
      <x:c r="C13" s="14" t="str">
        <x:v>Scope decision</x:v>
      </x:c>
      <x:c r="D13" s="8" t="str">
        <x:v>No dedicated workflow</x:v>
      </x:c>
      <x:c r="E13" s="8" t="str">
        <x:v>No independent Contact entity is in the inspected entity map.</x:v>
      </x:c>
      <x:c r="F13" s="8" t="str">
        <x:v>Decide whether a separate module is needed; party contact fields can remain the proposed pilot boundary.</x:v>
      </x:c>
      <x:c r="G13" s="8" t="str">
        <x:v>D01</x:v>
      </x:c>
      <x:c r="H13" s="8" t="str">
        <x:v>Unverified</x:v>
      </x:c>
      <x:c r="I13" s="8" t="str">
        <x:v>F</x:v>
      </x:c>
      <x:c r="J13" s="8"/>
      <x:c r="K13" s="8" t="str">
        <x:v>https://github.com/Future00111/ledgerpoint/blob/085b7e0491d9adbbebcc7e8db384c575bcfa2aca/artifacts/api-server/src/routes/entities.ts</x:v>
      </x:c>
    </x:row>
    <x:row r="14" ht="88" customHeight="1">
      <x:c r="A14" s="8" t="n">
        <x:v>8</x:v>
      </x:c>
      <x:c r="B14" s="8" t="str">
        <x:v>Sales invoices</x:v>
      </x:c>
      <x:c r="C14" s="14" t="str">
        <x:v>Included proposal</x:v>
      </x:c>
      <x:c r="D14" s="8" t="str">
        <x:v>Blocked integration</x:v>
      </x:c>
      <x:c r="E14" s="8" t="str">
        <x:v>Invoice form saves records; postSalesInvoice updates status only. Journal-generation handler returns success without generating a journal.</x:v>
      </x:c>
      <x:c r="F14" s="8" t="str">
        <x:v>Use server-calculated money, immutable posting, current source/context controls and canonical AR/revenue/VAT journals; reject false success.</x:v>
      </x:c>
      <x:c r="G14" s="8" t="str">
        <x:v>W05</x:v>
      </x:c>
      <x:c r="H14" s="8" t="str">
        <x:v>Unverified</x:v>
      </x:c>
      <x:c r="I14" s="8" t="str">
        <x:v>B</x:v>
      </x:c>
      <x:c r="J14" s="8"/>
      <x:c r="K14" s="8" t="str">
        <x:v>https://github.com/Future00111/ledgerpoint/blob/085b7e0491d9adbbebcc7e8db384c575bcfa2aca/artifacts/api-server/src/routes/functions.ts</x:v>
      </x:c>
    </x:row>
    <x:row r="15" ht="88" customHeight="1">
      <x:c r="A15" s="8" t="n">
        <x:v>9</x:v>
      </x:c>
      <x:c r="B15" s="8" t="str">
        <x:v>Credit notes</x:v>
      </x:c>
      <x:c r="C15" s="14" t="str">
        <x:v>Included proposal</x:v>
      </x:c>
      <x:c r="D15" s="8" t="str">
        <x:v>Partial</x:v>
      </x:c>
      <x:c r="E15" s="8" t="str">
        <x:v>Sales and supplier credit-note forms/registers exist.</x:v>
      </x:c>
      <x:c r="F15" s="8" t="str">
        <x:v>Add canonical posting, allocation, controlled corrections/refunds and VAT/audit consequences.</x:v>
      </x:c>
      <x:c r="G15" s="8" t="str">
        <x:v>W06</x:v>
      </x:c>
      <x:c r="H15" s="8" t="str">
        <x:v>Unverified</x:v>
      </x:c>
      <x:c r="I15" s="8" t="str">
        <x:v>B</x:v>
      </x:c>
      <x:c r="J15" s="8"/>
      <x:c r="K15" s="8" t="str">
        <x:v>https://github.com/Future00111/ledgerpoint/blob/085b7e0491d9adbbebcc7e8db384c575bcfa2aca/artifacts/ledgerly/src/pages/SalesCreditNoteForm.jsx</x:v>
      </x:c>
    </x:row>
    <x:row r="16" ht="88" customHeight="1">
      <x:c r="A16" s="8" t="n">
        <x:v>10</x:v>
      </x:c>
      <x:c r="B16" s="8" t="str">
        <x:v>Quotes/estimates</x:v>
      </x:c>
      <x:c r="C16" s="14" t="str">
        <x:v>Scope decision</x:v>
      </x:c>
      <x:c r="D16" s="8" t="str">
        <x:v>No dedicated workflow</x:v>
      </x:c>
      <x:c r="E16" s="8" t="str">
        <x:v>No Quote entity is in the inspected entity map.</x:v>
      </x:c>
      <x:c r="F16" s="8" t="str">
        <x:v>Defer unless explicitly added to launch scope; do not count an unapproved quote feature as a release blocker.</x:v>
      </x:c>
      <x:c r="G16" s="8" t="str">
        <x:v>D01</x:v>
      </x:c>
      <x:c r="H16" s="8" t="str">
        <x:v>Unverified</x:v>
      </x:c>
      <x:c r="I16" s="8" t="str">
        <x:v>F</x:v>
      </x:c>
      <x:c r="J16" s="8"/>
      <x:c r="K16" s="8" t="str">
        <x:v>https://github.com/Future00111/ledgerpoint/blob/085b7e0491d9adbbebcc7e8db384c575bcfa2aca/artifacts/api-server/src/routes/entities.ts</x:v>
      </x:c>
    </x:row>
    <x:row r="17" ht="88" customHeight="1">
      <x:c r="A17" s="8" t="n">
        <x:v>11</x:v>
      </x:c>
      <x:c r="B17" s="8" t="str">
        <x:v>Purchase bills</x:v>
      </x:c>
      <x:c r="C17" s="14" t="str">
        <x:v>Included proposal</x:v>
      </x:c>
      <x:c r="D17" s="8" t="str">
        <x:v>Blocked integration</x:v>
      </x:c>
      <x:c r="E17" s="8" t="str">
        <x:v>Bill form and records exist; postPurchaseBill updates status without canonical posting.</x:v>
      </x:c>
      <x:c r="F17" s="8" t="str">
        <x:v>Implement the approved draft/approval/posting lifecycle with AP/cost/VAT journals and immutability.</x:v>
      </x:c>
      <x:c r="G17" s="8" t="str">
        <x:v>W05</x:v>
      </x:c>
      <x:c r="H17" s="8" t="str">
        <x:v>Unverified</x:v>
      </x:c>
      <x:c r="I17" s="8" t="str">
        <x:v>B</x:v>
      </x:c>
      <x:c r="J17" s="8"/>
      <x:c r="K17" s="8" t="str">
        <x:v>https://github.com/Future00111/ledgerpoint/blob/085b7e0491d9adbbebcc7e8db384c575bcfa2aca/artifacts/api-server/src/routes/functions.ts</x:v>
      </x:c>
    </x:row>
    <x:row r="18" ht="88" customHeight="1">
      <x:c r="A18" s="8" t="n">
        <x:v>12</x:v>
      </x:c>
      <x:c r="B18" s="8" t="str">
        <x:v>Purchase orders</x:v>
      </x:c>
      <x:c r="C18" s="14" t="str">
        <x:v>Scope decision</x:v>
      </x:c>
      <x:c r="D18" s="8" t="str">
        <x:v>No dedicated workflow</x:v>
      </x:c>
      <x:c r="E18" s="8" t="str">
        <x:v>No PurchaseOrder entity is in the inspected entity map.</x:v>
      </x:c>
      <x:c r="F18" s="8" t="str">
        <x:v>Defer unless separately approved; define order-to-bill semantics before implementation.</x:v>
      </x:c>
      <x:c r="G18" s="8" t="str">
        <x:v>D01</x:v>
      </x:c>
      <x:c r="H18" s="8" t="str">
        <x:v>Unverified</x:v>
      </x:c>
      <x:c r="I18" s="8" t="str">
        <x:v>F</x:v>
      </x:c>
      <x:c r="J18" s="8"/>
      <x:c r="K18" s="8" t="str">
        <x:v>https://github.com/Future00111/ledgerpoint/blob/085b7e0491d9adbbebcc7e8db384c575bcfa2aca/artifacts/api-server/src/routes/entities.ts</x:v>
      </x:c>
    </x:row>
    <x:row r="19" ht="88" customHeight="1">
      <x:c r="A19" s="8" t="n">
        <x:v>13</x:v>
      </x:c>
      <x:c r="B19" s="8" t="str">
        <x:v>Products/services/items</x:v>
      </x:c>
      <x:c r="C19" s="14" t="str">
        <x:v>Scope decision</x:v>
      </x:c>
      <x:c r="D19" s="8" t="str">
        <x:v>No dedicated workflow</x:v>
      </x:c>
      <x:c r="E19" s="8" t="str">
        <x:v>No separate item catalogue is in the inspected entity map.</x:v>
      </x:c>
      <x:c r="F19" s="8" t="str">
        <x:v>Decide whether validated invoice/bill line items suffice for the pilot; a catalogue is a separate scope choice.</x:v>
      </x:c>
      <x:c r="G19" s="8" t="str">
        <x:v>D01</x:v>
      </x:c>
      <x:c r="H19" s="8" t="str">
        <x:v>Unverified</x:v>
      </x:c>
      <x:c r="I19" s="8" t="str">
        <x:v>F</x:v>
      </x:c>
      <x:c r="J19" s="8"/>
      <x:c r="K19" s="8" t="str">
        <x:v>https://github.com/Future00111/ledgerpoint/blob/085b7e0491d9adbbebcc7e8db384c575bcfa2aca/artifacts/api-server/src/routes/entities.ts</x:v>
      </x:c>
    </x:row>
    <x:row r="20" ht="88" customHeight="1">
      <x:c r="A20" s="8" t="n">
        <x:v>14</x:v>
      </x:c>
      <x:c r="B20" s="8" t="str">
        <x:v>Bank accounts</x:v>
      </x:c>
      <x:c r="C20" s="14" t="str">
        <x:v>Included proposal</x:v>
      </x:c>
      <x:c r="D20" s="8" t="str">
        <x:v>Partial</x:v>
      </x:c>
      <x:c r="E20" s="8" t="str">
        <x:v>Manual bank account records and transaction views exist; live banking is labelled coming soon.</x:v>
      </x:c>
      <x:c r="F20" s="8" t="str">
        <x:v>Validate manual/CSV account controls and reconcile balances. Live feeds are excluded from the proposed pilot.</x:v>
      </x:c>
      <x:c r="G20" s="8" t="str">
        <x:v>W07</x:v>
      </x:c>
      <x:c r="H20" s="8" t="str">
        <x:v>Unverified</x:v>
      </x:c>
      <x:c r="I20" s="8" t="str">
        <x:v>B</x:v>
      </x:c>
      <x:c r="J20" s="8"/>
      <x:c r="K20" s="8" t="str">
        <x:v>https://github.com/Future00111/ledgerpoint/blob/085b7e0491d9adbbebcc7e8db384c575bcfa2aca/artifacts/ledgerly/src/pages/BankAccounts.jsx</x:v>
      </x:c>
    </x:row>
    <x:row r="21" ht="88" customHeight="1">
      <x:c r="A21" s="8" t="n">
        <x:v>15</x:v>
      </x:c>
      <x:c r="B21" s="8" t="str">
        <x:v>Bank transaction importing</x:v>
      </x:c>
      <x:c r="C21" s="14" t="str">
        <x:v>Included proposal</x:v>
      </x:c>
      <x:c r="D21" s="8" t="str">
        <x:v>Partial</x:v>
      </x:c>
      <x:c r="E21" s="8" t="str">
        <x:v>CSV import UI and dedicated initial bank-entry handlers exist.</x:v>
      </x:c>
      <x:c r="F21" s="8" t="str">
        <x:v>Prove malformed-file recovery, duplicate/replay behavior, safe mapping, complete import audit and company isolation.</x:v>
      </x:c>
      <x:c r="G21" s="8" t="str">
        <x:v>W07</x:v>
      </x:c>
      <x:c r="H21" s="8" t="str">
        <x:v>Unverified</x:v>
      </x:c>
      <x:c r="I21" s="8" t="str">
        <x:v>B</x:v>
      </x:c>
      <x:c r="J21" s="8"/>
      <x:c r="K21" s="8" t="str">
        <x:v>https://github.com/Future00111/ledgerpoint/blob/085b7e0491d9adbbebcc7e8db384c575bcfa2aca/artifacts/ledgerly/src/components/bank_transactions/ImportCSVDialog.jsx</x:v>
      </x:c>
    </x:row>
    <x:row r="22" ht="88" customHeight="1">
      <x:c r="A22" s="8" t="n">
        <x:v>16</x:v>
      </x:c>
      <x:c r="B22" s="8" t="str">
        <x:v>Bank transaction management</x:v>
      </x:c>
      <x:c r="C22" s="14" t="str">
        <x:v>Included proposal</x:v>
      </x:c>
      <x:c r="D22" s="8" t="str">
        <x:v>Partial</x:v>
      </x:c>
      <x:c r="E22" s="8" t="str">
        <x:v>Registers and dedicated bank-entry/classification routes exist; matched-state generic writes are restricted.</x:v>
      </x:c>
      <x:c r="F22" s="8" t="str">
        <x:v>Validate every bank mutation and bulk operation; prove concurrent changes cannot bypass reconciliation.</x:v>
      </x:c>
      <x:c r="G22" s="8" t="str">
        <x:v>W07</x:v>
      </x:c>
      <x:c r="H22" s="8" t="str">
        <x:v>Unverified</x:v>
      </x:c>
      <x:c r="I22" s="8" t="str">
        <x:v>B</x:v>
      </x:c>
      <x:c r="J22" s="8"/>
      <x:c r="K22" s="8" t="str">
        <x:v>https://github.com/Future00111/ledgerpoint/blob/085b7e0491d9adbbebcc7e8db384c575bcfa2aca/artifacts/api-server/src/routes/functions.ts</x:v>
      </x:c>
    </x:row>
    <x:row r="23" ht="88" customHeight="1">
      <x:c r="A23" s="8" t="n">
        <x:v>17</x:v>
      </x:c>
      <x:c r="B23" s="8" t="str">
        <x:v>Transaction categorisation</x:v>
      </x:c>
      <x:c r="C23" s="14" t="str">
        <x:v>Included proposal</x:v>
      </x:c>
      <x:c r="D23" s="8" t="str">
        <x:v>Blocked integration</x:v>
      </x:c>
      <x:c r="E23" s="8" t="str">
        <x:v>Categorisation suggestions/services exist; canonical category-to-ledger workflow is not connected.</x:v>
      </x:c>
      <x:c r="F23" s="8" t="str">
        <x:v>Explicit approval must produce one balanced journal with correct tax, source and report effects.</x:v>
      </x:c>
      <x:c r="G23" s="8" t="str">
        <x:v>W07</x:v>
      </x:c>
      <x:c r="H23" s="8" t="str">
        <x:v>Unverified</x:v>
      </x:c>
      <x:c r="I23" s="8" t="str">
        <x:v>B</x:v>
      </x:c>
      <x:c r="J23" s="8"/>
      <x:c r="K23" s="8" t="str">
        <x:v>https://github.com/Future00111/ledgerpoint/blob/085b7e0491d9adbbebcc7e8db384c575bcfa2aca/artifacts/api-server/src/services/ai-accountant/categorise.ts</x:v>
      </x:c>
    </x:row>
    <x:row r="24" ht="88" customHeight="1">
      <x:c r="A24" s="8" t="n">
        <x:v>18</x:v>
      </x:c>
      <x:c r="B24" s="8" t="str">
        <x:v>Bank reconciliation</x:v>
      </x:c>
      <x:c r="C24" s="14" t="str">
        <x:v>Included proposal</x:v>
      </x:c>
      <x:c r="D24" s="8" t="str">
        <x:v>Blocked integration</x:v>
      </x:c>
      <x:c r="E24" s="8" t="str">
        <x:v>Matching and transactional approval code exist. Earlier phase-scoped completion does not establish ledger/cash effects.</x:v>
      </x:c>
      <x:c r="F24" s="8" t="str">
        <x:v>Link approval to canonical payments/journals atomically; prove partial, multiple, stale, duplicate and cross-company cases.</x:v>
      </x:c>
      <x:c r="G24" s="8" t="str">
        <x:v>W07</x:v>
      </x:c>
      <x:c r="H24" s="8" t="str">
        <x:v>Unverified</x:v>
      </x:c>
      <x:c r="I24" s="8" t="str">
        <x:v>A*</x:v>
      </x:c>
      <x:c r="J24" s="8"/>
      <x:c r="K24" s="8" t="str">
        <x:v>https://github.com/Future00111/ledgerpoint/blob/085b7e0491d9adbbebcc7e8db384c575bcfa2aca/artifacts/api-server/src/services/ai-accountant/approval.ts</x:v>
      </x:c>
    </x:row>
    <x:row r="25" ht="88" customHeight="1">
      <x:c r="A25" s="8" t="n">
        <x:v>19</x:v>
      </x:c>
      <x:c r="B25" s="8" t="str">
        <x:v>Transfers</x:v>
      </x:c>
      <x:c r="C25" s="14" t="str">
        <x:v>Included proposal</x:v>
      </x:c>
      <x:c r="D25" s="8" t="str">
        <x:v>Partial</x:v>
      </x:c>
      <x:c r="E25" s="8" t="str">
        <x:v>recordBankTransfer now creates a paired opposite bank row with amount/company checks. Earlier detection-only label is stale.</x:v>
      </x:c>
      <x:c r="F25" s="8" t="str">
        <x:v>Add canonical movement/audit, deterministic replay protection and prove zero income/expense/VAT effect.</x:v>
      </x:c>
      <x:c r="G25" s="8" t="str">
        <x:v>W07</x:v>
      </x:c>
      <x:c r="H25" s="8" t="str">
        <x:v>Unverified</x:v>
      </x:c>
      <x:c r="I25" s="8" t="str">
        <x:v>B</x:v>
      </x:c>
      <x:c r="J25" s="8"/>
      <x:c r="K25" s="8" t="str">
        <x:v>https://github.com/Future00111/ledgerpoint/blob/085b7e0491d9adbbebcc7e8db384c575bcfa2aca/artifacts/api-server/src/routes/functions.ts</x:v>
      </x:c>
    </x:row>
    <x:row r="26" ht="88" customHeight="1">
      <x:c r="A26" s="8" t="n">
        <x:v>20</x:v>
      </x:c>
      <x:c r="B26" s="8" t="str">
        <x:v>Recurring transactions</x:v>
      </x:c>
      <x:c r="C26" s="14" t="str">
        <x:v>Defer proposal</x:v>
      </x:c>
      <x:c r="D26" s="8" t="str">
        <x:v>Detection only</x:v>
      </x:c>
      <x:c r="E26" s="8" t="str">
        <x:v>Recurrence detection exists; no complete recurring draft-generation lifecycle was found.</x:v>
      </x:c>
      <x:c r="F26" s="8" t="str">
        <x:v>Keep detection in the pilot if useful; templates/schedules need a separate approved scope and idempotency contract.</x:v>
      </x:c>
      <x:c r="G26" s="8" t="str">
        <x:v>D02</x:v>
      </x:c>
      <x:c r="H26" s="8" t="str">
        <x:v>Unverified</x:v>
      </x:c>
      <x:c r="I26" s="8" t="str">
        <x:v>B</x:v>
      </x:c>
      <x:c r="J26" s="8"/>
      <x:c r="K26" s="8" t="str">
        <x:v>https://github.com/Future00111/ledgerpoint/blob/085b7e0491d9adbbebcc7e8db384c575bcfa2aca/artifacts/api-server/src/services/ai-accountant/detectors.ts</x:v>
      </x:c>
    </x:row>
    <x:row r="27" ht="88" customHeight="1">
      <x:c r="A27" s="8" t="n">
        <x:v>21</x:v>
      </x:c>
      <x:c r="B27" s="8" t="str">
        <x:v>Chart of accounts</x:v>
      </x:c>
      <x:c r="C27" s="14" t="str">
        <x:v>Included proposal</x:v>
      </x:c>
      <x:c r="D27" s="8" t="str">
        <x:v>Partial</x:v>
      </x:c>
      <x:c r="E27" s="8" t="str">
        <x:v>Chart UI, account records and UK default-account creation exist.</x:v>
      </x:c>
      <x:c r="F27" s="8" t="str">
        <x:v>Control account classifications, protected mappings/defaults and effective configuration; integrate canonical posting/reporting.</x:v>
      </x:c>
      <x:c r="G27" s="8" t="str">
        <x:v>W04</x:v>
      </x:c>
      <x:c r="H27" s="8" t="str">
        <x:v>Unverified</x:v>
      </x:c>
      <x:c r="I27" s="8" t="str">
        <x:v>B</x:v>
      </x:c>
      <x:c r="J27" s="8"/>
      <x:c r="K27" s="8" t="str">
        <x:v>https://github.com/Future00111/ledgerpoint/blob/085b7e0491d9adbbebcc7e8db384c575bcfa2aca/artifacts/ledgerly/src/pages/ChartOfAccounts.jsx</x:v>
      </x:c>
    </x:row>
    <x:row r="28" ht="88" customHeight="1">
      <x:c r="A28" s="8" t="n">
        <x:v>22</x:v>
      </x:c>
      <x:c r="B28" s="8" t="str">
        <x:v>Accounting configuration</x:v>
      </x:c>
      <x:c r="C28" s="14" t="str">
        <x:v>Included proposal</x:v>
      </x:c>
      <x:c r="D28" s="8" t="str">
        <x:v>Partial</x:v>
      </x:c>
      <x:c r="E28" s="8" t="str">
        <x:v>Company/accounting settings fragments exist.</x:v>
      </x:c>
      <x:c r="F28" s="8" t="str">
        <x:v>Implement validated numbering, mappings, fiscal setup and posting-context configuration without rewriting history.</x:v>
      </x:c>
      <x:c r="G28" s="8" t="str">
        <x:v>W04</x:v>
      </x:c>
      <x:c r="H28" s="8" t="str">
        <x:v>Unverified</x:v>
      </x:c>
      <x:c r="I28" s="8" t="str">
        <x:v>C</x:v>
      </x:c>
      <x:c r="J28" s="8"/>
      <x:c r="K28" s="8" t="str">
        <x:v>https://github.com/Future00111/ledgerpoint/blob/085b7e0491d9adbbebcc7e8db384c575bcfa2aca/artifacts/ledgerly/src/pages/Settings.jsx</x:v>
      </x:c>
    </x:row>
    <x:row r="29" ht="88" customHeight="1">
      <x:c r="A29" s="8" t="n">
        <x:v>23</x:v>
      </x:c>
      <x:c r="B29" s="8" t="str">
        <x:v>VAT configuration</x:v>
      </x:c>
      <x:c r="C29" s="14" t="str">
        <x:v>Included proposal</x:v>
      </x:c>
      <x:c r="D29" s="8" t="str">
        <x:v>Partial</x:v>
      </x:c>
      <x:c r="E29" s="8" t="str">
        <x:v>VAT rules/profile and deterministic Standard scheme services exist; supported launch scheme is already decided.</x:v>
      </x:c>
      <x:c r="F29" s="8" t="str">
        <x:v>Enforce the approved Standard invoice-basis scope, effective versions and unsupported-treatment rejection.</x:v>
      </x:c>
      <x:c r="G29" s="8" t="str">
        <x:v>W08</x:v>
      </x:c>
      <x:c r="H29" s="8" t="str">
        <x:v>Unverified</x:v>
      </x:c>
      <x:c r="I29" s="8" t="str">
        <x:v>B</x:v>
      </x:c>
      <x:c r="J29" s="8"/>
      <x:c r="K29" s="8" t="str">
        <x:v>https://github.com/Future00111/ledgerpoint/blob/085b7e0491d9adbbebcc7e8db384c575bcfa2aca/artifacts/api-server/src/services/ai-accountant/vat.ts</x:v>
      </x:c>
    </x:row>
    <x:row r="30" ht="88" customHeight="1">
      <x:c r="A30" s="8" t="n">
        <x:v>24</x:v>
      </x:c>
      <x:c r="B30" s="8" t="str">
        <x:v>VAT calculations</x:v>
      </x:c>
      <x:c r="C30" s="14" t="str">
        <x:v>Included proposal</x:v>
      </x:c>
      <x:c r="D30" s="8" t="str">
        <x:v>Partial</x:v>
      </x:c>
      <x:c r="E30" s="8" t="str">
        <x:v>Deterministic VAT calculation and scenario tests exist.</x:v>
      </x:c>
      <x:c r="F30" s="8" t="str">
        <x:v>Prove journal/source authority, integer-money/rounding invariants and supported treatment coverage through the full journey.</x:v>
      </x:c>
      <x:c r="G30" s="8" t="str">
        <x:v>W08</x:v>
      </x:c>
      <x:c r="H30" s="8" t="str">
        <x:v>Unverified</x:v>
      </x:c>
      <x:c r="I30" s="8" t="str">
        <x:v>B</x:v>
      </x:c>
      <x:c r="J30" s="8"/>
      <x:c r="K30" s="8" t="str">
        <x:v>https://github.com/Future00111/ledgerpoint/blob/085b7e0491d9adbbebcc7e8db384c575bcfa2aca/artifacts/api-server/src/services/ai-accountant/vatMath.ts</x:v>
      </x:c>
    </x:row>
    <x:row r="31" ht="88" customHeight="1">
      <x:c r="A31" s="8" t="n">
        <x:v>25</x:v>
      </x:c>
      <x:c r="B31" s="8" t="str">
        <x:v>VAT returns</x:v>
      </x:c>
      <x:c r="C31" s="14" t="str">
        <x:v>Included proposal</x:v>
      </x:c>
      <x:c r="D31" s="8" t="str">
        <x:v>Partial</x:v>
      </x:c>
      <x:c r="E31" s="8" t="str">
        <x:v>Draft, refresh, revision and review return services exist.</x:v>
      </x:c>
      <x:c r="F31" s="8" t="str">
        <x:v>Complete the approved preparation/export lifecycle and recovery with reconciled posted evidence; no direct HMRC filing.</x:v>
      </x:c>
      <x:c r="G31" s="8" t="str">
        <x:v>W08</x:v>
      </x:c>
      <x:c r="H31" s="8" t="str">
        <x:v>Unverified</x:v>
      </x:c>
      <x:c r="I31" s="8" t="str">
        <x:v>B</x:v>
      </x:c>
      <x:c r="J31" s="8"/>
      <x:c r="K31" s="8" t="str">
        <x:v>https://github.com/Future00111/ledgerpoint/blob/085b7e0491d9adbbebcc7e8db384c575bcfa2aca/artifacts/api-server/src/services/ai-accountant/vat.ts</x:v>
      </x:c>
    </x:row>
    <x:row r="32" ht="88" customHeight="1">
      <x:c r="A32" s="8" t="n">
        <x:v>26</x:v>
      </x:c>
      <x:c r="B32" s="8" t="str">
        <x:v>VAT review/approval/locking</x:v>
      </x:c>
      <x:c r="C32" s="14" t="str">
        <x:v>Included proposal</x:v>
      </x:c>
      <x:c r="D32" s="8" t="str">
        <x:v>Release blocker</x:v>
      </x:c>
      <x:c r="E32" s="8" t="str">
        <x:v>approveVATReturn checks exceptions then locks the persisted return; source revalidation is not performed in that transaction.</x:v>
      </x:c>
      <x:c r="F32" s="8" t="str">
        <x:v>A concurrent source/context change must prevent locking stale VAT evidence; test mutation races and capability checks.</x:v>
      </x:c>
      <x:c r="G32" s="8" t="str">
        <x:v>W08</x:v>
      </x:c>
      <x:c r="H32" s="8" t="str">
        <x:v>Unverified</x:v>
      </x:c>
      <x:c r="I32" s="8" t="str">
        <x:v>B</x:v>
      </x:c>
      <x:c r="J32" s="8"/>
      <x:c r="K32" s="8" t="str">
        <x:v>https://github.com/Future00111/ledgerpoint/blob/085b7e0491d9adbbebcc7e8db384c575bcfa2aca/artifacts/api-server/src/services/ai-accountant/vat.ts</x:v>
      </x:c>
    </x:row>
    <x:row r="33" ht="88" customHeight="1">
      <x:c r="A33" s="8" t="n">
        <x:v>27</x:v>
      </x:c>
      <x:c r="B33" s="8" t="str">
        <x:v>VAT evidence and drill-downs</x:v>
      </x:c>
      <x:c r="C33" s="14" t="str">
        <x:v>Included proposal</x:v>
      </x:c>
      <x:c r="D33" s="8" t="str">
        <x:v>Partial</x:v>
      </x:c>
      <x:c r="E33" s="8" t="str">
        <x:v>VAT box drill-down component and evidence/review data exist.</x:v>
      </x:c>
      <x:c r="F33" s="8" t="str">
        <x:v>Reconcile each box to authoritative posted evidence and produce a complete, versioned export pack.</x:v>
      </x:c>
      <x:c r="G33" s="8" t="str">
        <x:v>W08</x:v>
      </x:c>
      <x:c r="H33" s="8" t="str">
        <x:v>Unverified</x:v>
      </x:c>
      <x:c r="I33" s="8" t="str">
        <x:v>B</x:v>
      </x:c>
      <x:c r="J33" s="8"/>
      <x:c r="K33" s="8" t="str">
        <x:v>https://github.com/Future00111/ledgerpoint/blob/085b7e0491d9adbbebcc7e8db384c575bcfa2aca/artifacts/ledgerly/src/components/vat_returns/VATBoxDrillDown.jsx</x:v>
      </x:c>
    </x:row>
    <x:row r="34" ht="88" customHeight="1">
      <x:c r="A34" s="8" t="n">
        <x:v>28</x:v>
      </x:c>
      <x:c r="B34" s="8" t="str">
        <x:v>Collections</x:v>
      </x:c>
      <x:c r="C34" s="14" t="str">
        <x:v>Included proposal</x:v>
      </x:c>
      <x:c r="D34" s="8" t="str">
        <x:v>Partial</x:v>
      </x:c>
      <x:c r="E34" s="8" t="str">
        <x:v>Collections analysis, draft approval, email-app handoff and manual sent recording exist. Provider delivery is not established.</x:v>
      </x:c>
      <x:c r="F34" s="8" t="str">
        <x:v>Reconcile overdue amounts to the accepted ledger; make manual handoff and delivery status clear and audited.</x:v>
      </x:c>
      <x:c r="G34" s="8" t="str">
        <x:v>W06</x:v>
      </x:c>
      <x:c r="H34" s="8" t="str">
        <x:v>Unverified</x:v>
      </x:c>
      <x:c r="I34" s="8" t="str">
        <x:v>B</x:v>
      </x:c>
      <x:c r="J34" s="8"/>
      <x:c r="K34" s="8" t="str">
        <x:v>https://github.com/Future00111/ledgerpoint/blob/085b7e0491d9adbbebcc7e8db384c575bcfa2aca/artifacts/ledgerly/src/components/collections/ReminderDraftDialog.jsx</x:v>
      </x:c>
    </x:row>
    <x:row r="35" ht="88" customHeight="1">
      <x:c r="A35" s="8" t="n">
        <x:v>29</x:v>
      </x:c>
      <x:c r="B35" s="8" t="str">
        <x:v>Payments</x:v>
      </x:c>
      <x:c r="C35" s="14" t="str">
        <x:v>Included proposal</x:v>
      </x:c>
      <x:c r="D35" s="8" t="str">
        <x:v>Blocked integration</x:v>
      </x:c>
      <x:c r="E35" s="8" t="str">
        <x:v>updatePaymentStatus updates document balances under locks without canonical payment journals.</x:v>
      </x:c>
      <x:c r="F35" s="8" t="str">
        <x:v>Implement payment records, allocation/reversal, partial/split/excess handling and cash/AR/AP journals with replay safety.</x:v>
      </x:c>
      <x:c r="G35" s="8" t="str">
        <x:v>W06</x:v>
      </x:c>
      <x:c r="H35" s="8" t="str">
        <x:v>Unverified</x:v>
      </x:c>
      <x:c r="I35" s="8" t="str">
        <x:v>B</x:v>
      </x:c>
      <x:c r="J35" s="8"/>
      <x:c r="K35" s="8" t="str">
        <x:v>https://github.com/Future00111/ledgerpoint/blob/085b7e0491d9adbbebcc7e8db384c575bcfa2aca/artifacts/api-server/src/routes/functions.ts</x:v>
      </x:c>
    </x:row>
    <x:row r="36" ht="88" customHeight="1">
      <x:c r="A36" s="8" t="n">
        <x:v>30</x:v>
      </x:c>
      <x:c r="B36" s="8" t="str">
        <x:v>Customer balances</x:v>
      </x:c>
      <x:c r="C36" s="14" t="str">
        <x:v>Included proposal</x:v>
      </x:c>
      <x:c r="D36" s="8" t="str">
        <x:v>Partial</x:v>
      </x:c>
      <x:c r="E36" s="8" t="str">
        <x:v>Customer views use invoice paid/balance fields.</x:v>
      </x:c>
      <x:c r="F36" s="8" t="str">
        <x:v>Rebuild authoritative party balances/statements from canonical payments/allocations and reconcile to journals.</x:v>
      </x:c>
      <x:c r="G36" s="8" t="str">
        <x:v>W06</x:v>
      </x:c>
      <x:c r="H36" s="8" t="str">
        <x:v>Unverified</x:v>
      </x:c>
      <x:c r="I36" s="8" t="str">
        <x:v>B</x:v>
      </x:c>
      <x:c r="J36" s="8"/>
      <x:c r="K36" s="8" t="str">
        <x:v>https://github.com/Future00111/ledgerpoint/blob/085b7e0491d9adbbebcc7e8db384c575bcfa2aca/artifacts/ledgerly/src/pages/Customers.jsx</x:v>
      </x:c>
    </x:row>
    <x:row r="37" ht="88" customHeight="1">
      <x:c r="A37" s="8" t="n">
        <x:v>31</x:v>
      </x:c>
      <x:c r="B37" s="8" t="str">
        <x:v>Supplier balances</x:v>
      </x:c>
      <x:c r="C37" s="14" t="str">
        <x:v>Included proposal</x:v>
      </x:c>
      <x:c r="D37" s="8" t="str">
        <x:v>Partial</x:v>
      </x:c>
      <x:c r="E37" s="8" t="str">
        <x:v>Supplier views use bill paid/balance fields.</x:v>
      </x:c>
      <x:c r="F37" s="8" t="str">
        <x:v>Rebuild authoritative party balances/statements from canonical payments/allocations and reconcile to journals.</x:v>
      </x:c>
      <x:c r="G37" s="8" t="str">
        <x:v>W06</x:v>
      </x:c>
      <x:c r="H37" s="8" t="str">
        <x:v>Unverified</x:v>
      </x:c>
      <x:c r="I37" s="8" t="str">
        <x:v>B</x:v>
      </x:c>
      <x:c r="J37" s="8"/>
      <x:c r="K37" s="8" t="str">
        <x:v>https://github.com/Future00111/ledgerpoint/blob/085b7e0491d9adbbebcc7e8db384c575bcfa2aca/artifacts/ledgerly/src/pages/Suppliers.jsx</x:v>
      </x:c>
    </x:row>
    <x:row r="38" ht="88" customHeight="1">
      <x:c r="A38" s="8" t="n">
        <x:v>32</x:v>
      </x:c>
      <x:c r="B38" s="8" t="str">
        <x:v>Accounts receivable</x:v>
      </x:c>
      <x:c r="C38" s="14" t="str">
        <x:v>Included proposal</x:v>
      </x:c>
      <x:c r="D38" s="8" t="str">
        <x:v>Partial</x:v>
      </x:c>
      <x:c r="E38" s="8" t="str">
        <x:v>Invoices and collections provide an operational receivables view.</x:v>
      </x:c>
      <x:c r="F38" s="8" t="str">
        <x:v>Deliver reconciled AR open items, allocations, statements and aging with source drill-down.</x:v>
      </x:c>
      <x:c r="G38" s="8" t="str">
        <x:v>W09</x:v>
      </x:c>
      <x:c r="H38" s="8" t="str">
        <x:v>Unverified</x:v>
      </x:c>
      <x:c r="I38" s="8" t="str">
        <x:v>B</x:v>
      </x:c>
      <x:c r="J38" s="8"/>
      <x:c r="K38" s="8" t="str">
        <x:v>https://github.com/Future00111/ledgerpoint/blob/085b7e0491d9adbbebcc7e8db384c575bcfa2aca/artifacts/api-server/src/services/ai-accountant/collections.ts</x:v>
      </x:c>
    </x:row>
    <x:row r="39" ht="88" customHeight="1">
      <x:c r="A39" s="8" t="n">
        <x:v>33</x:v>
      </x:c>
      <x:c r="B39" s="8" t="str">
        <x:v>Accounts payable</x:v>
      </x:c>
      <x:c r="C39" s="14" t="str">
        <x:v>Included proposal</x:v>
      </x:c>
      <x:c r="D39" s="8" t="str">
        <x:v>Partial</x:v>
      </x:c>
      <x:c r="E39" s="8" t="str">
        <x:v>Bill register and supplier records exist.</x:v>
      </x:c>
      <x:c r="F39" s="8" t="str">
        <x:v>Deliver reconciled AP open items, allocations, statements and aging; payment-run automation is a separate scope choice.</x:v>
      </x:c>
      <x:c r="G39" s="8" t="str">
        <x:v>W09</x:v>
      </x:c>
      <x:c r="H39" s="8" t="str">
        <x:v>Unverified</x:v>
      </x:c>
      <x:c r="I39" s="8" t="str">
        <x:v>C</x:v>
      </x:c>
      <x:c r="J39" s="8"/>
      <x:c r="K39" s="8" t="str">
        <x:v>https://github.com/Future00111/ledgerpoint/blob/085b7e0491d9adbbebcc7e8db384c575bcfa2aca/artifacts/ledgerly/src/pages/Bills.jsx</x:v>
      </x:c>
    </x:row>
    <x:row r="40" ht="88" customHeight="1">
      <x:c r="A40" s="8" t="n">
        <x:v>34</x:v>
      </x:c>
      <x:c r="B40" s="8" t="str">
        <x:v>Journals</x:v>
      </x:c>
      <x:c r="C40" s="14" t="str">
        <x:v>Included proposal</x:v>
      </x:c>
      <x:c r="D40" s="8" t="str">
        <x:v>Blocked integration</x:v>
      </x:c>
      <x:c r="E40" s="8" t="str">
        <x:v>Exact C7 canonical service is qualified in isolation; the product still exposes legacy journal workflows.</x:v>
      </x:c>
      <x:c r="F40" s="8" t="str">
        <x:v>Connect accepted domain commands/providers, retain database safety and prove customer journal/reversal/correction journeys.</x:v>
      </x:c>
      <x:c r="G40" s="8" t="str">
        <x:v>W04</x:v>
      </x:c>
      <x:c r="H40" s="8" t="str">
        <x:v>Unverified</x:v>
      </x:c>
      <x:c r="I40" s="8" t="str">
        <x:v>B</x:v>
      </x:c>
      <x:c r="J40" s="8"/>
      <x:c r="K40" s="8" t="str">
        <x:v>https://github.com/Future00111/ledgerpoint/blob/085b7e0491d9adbbebcc7e8db384c575bcfa2aca/artifacts/api-server/src/services/accounting/canonicalPosting.ts</x:v>
      </x:c>
    </x:row>
    <x:row r="41" ht="88" customHeight="1">
      <x:c r="A41" s="8" t="n">
        <x:v>35</x:v>
      </x:c>
      <x:c r="B41" s="8" t="str">
        <x:v>Adjustments</x:v>
      </x:c>
      <x:c r="C41" s="14" t="str">
        <x:v>Included proposal</x:v>
      </x:c>
      <x:c r="D41" s="8" t="str">
        <x:v>Partial</x:v>
      </x:c>
      <x:c r="E41" s="8" t="str">
        <x:v>VAT adjustments exist; canonical service supports additive reversal/correction, but a complete product adjustment workflow is unproven.</x:v>
      </x:c>
      <x:c r="F41" s="8" t="str">
        <x:v>Define bounded authorized adjustment UI/commands and period, audit, linkage and approval behavior.</x:v>
      </x:c>
      <x:c r="G41" s="8" t="str">
        <x:v>W06</x:v>
      </x:c>
      <x:c r="H41" s="8" t="str">
        <x:v>Unverified</x:v>
      </x:c>
      <x:c r="I41" s="8" t="str">
        <x:v>C</x:v>
      </x:c>
      <x:c r="J41" s="8"/>
      <x:c r="K41" s="8" t="str">
        <x:v>https://github.com/Future00111/ledgerpoint/blob/085b7e0491d9adbbebcc7e8db384c575bcfa2aca/artifacts/api-server/src/services/accounting/canonicalPosting.ts</x:v>
      </x:c>
    </x:row>
    <x:row r="42" ht="88" customHeight="1">
      <x:c r="A42" s="8" t="n">
        <x:v>36</x:v>
      </x:c>
      <x:c r="B42" s="8" t="str">
        <x:v>Periods/financial years</x:v>
      </x:c>
      <x:c r="C42" s="14" t="str">
        <x:v>Included proposal</x:v>
      </x:c>
      <x:c r="D42" s="8" t="str">
        <x:v>No dedicated workflow</x:v>
      </x:c>
      <x:c r="E42" s="8" t="str">
        <x:v>No dedicated period/fiscal-year management page or route is present in the inspected product inventory; canonical tests use context providers.</x:v>
      </x:c>
      <x:c r="F42" s="8" t="str">
        <x:v>Build company fiscal periods, close/reopen controls and transaction-bound context providers under the approved policies.</x:v>
      </x:c>
      <x:c r="G42" s="8" t="str">
        <x:v>W04</x:v>
      </x:c>
      <x:c r="H42" s="8" t="str">
        <x:v>Unverified</x:v>
      </x:c>
      <x:c r="I42" s="8" t="str">
        <x:v>F</x:v>
      </x:c>
      <x:c r="J42" s="8"/>
      <x:c r="K42" s="8" t="str">
        <x:v>https://github.com/Future00111/ledgerpoint/blob/085b7e0491d9adbbebcc7e8db384c575bcfa2aca/artifacts/api-server/src/services/accounting/canonicalPosting.ts</x:v>
      </x:c>
    </x:row>
    <x:row r="43" ht="88" customHeight="1">
      <x:c r="A43" s="8" t="n">
        <x:v>37</x:v>
      </x:c>
      <x:c r="B43" s="8" t="str">
        <x:v>Accounting reports</x:v>
      </x:c>
      <x:c r="C43" s="14" t="str">
        <x:v>Included proposal</x:v>
      </x:c>
      <x:c r="D43" s="8" t="str">
        <x:v>Release blocker</x:v>
      </x:c>
      <x:c r="E43" s="8" t="str">
        <x:v>Reports read legacy JournalEntry data. Current calculator/schema shapes disagree; synthetic probes returned zero or invalid totals.</x:v>
      </x:c>
      <x:c r="F43" s="8" t="str">
        <x:v>Use a canonical reporting contract, normalize money safely, include all records and prove period/export/drill-down parity.</x:v>
      </x:c>
      <x:c r="G43" s="8" t="str">
        <x:v>W09</x:v>
      </x:c>
      <x:c r="H43" s="8" t="str">
        <x:v>Unverified</x:v>
      </x:c>
      <x:c r="I43" s="8" t="str">
        <x:v>C</x:v>
      </x:c>
      <x:c r="J43" s="8"/>
      <x:c r="K43" s="8" t="str">
        <x:v>https://github.com/Future00111/ledgerpoint/blob/085b7e0491d9adbbebcc7e8db384c575bcfa2aca/artifacts/ledgerly/src/lib/reportCalculations.js</x:v>
      </x:c>
    </x:row>
    <x:row r="44" ht="88" customHeight="1">
      <x:c r="A44" s="8" t="n">
        <x:v>38</x:v>
      </x:c>
      <x:c r="B44" s="8" t="str">
        <x:v>Management reports</x:v>
      </x:c>
      <x:c r="C44" s="14" t="str">
        <x:v>Included proposal</x:v>
      </x:c>
      <x:c r="D44" s="8" t="str">
        <x:v>Partial</x:v>
      </x:c>
      <x:c r="E44" s="8" t="str">
        <x:v>Management/dashboard widgets exist.</x:v>
      </x:c>
      <x:c r="F44" s="8" t="str">
        <x:v>Validate essential pilot metrics; advanced saved comparisons/management views require scope confirmation.</x:v>
      </x:c>
      <x:c r="G44" s="8" t="str">
        <x:v>W09</x:v>
      </x:c>
      <x:c r="H44" s="8" t="str">
        <x:v>Unverified</x:v>
      </x:c>
      <x:c r="I44" s="8" t="str">
        <x:v>C</x:v>
      </x:c>
      <x:c r="J44" s="8"/>
      <x:c r="K44" s="8" t="str">
        <x:v>https://github.com/Future00111/ledgerpoint/blob/085b7e0491d9adbbebcc7e8db384c575bcfa2aca/artifacts/ledgerly/src/pages/Dashboard.jsx</x:v>
      </x:c>
    </x:row>
    <x:row r="45" ht="88" customHeight="1">
      <x:c r="A45" s="8" t="n">
        <x:v>39</x:v>
      </x:c>
      <x:c r="B45" s="8" t="str">
        <x:v>Profit &amp; Loss</x:v>
      </x:c>
      <x:c r="C45" s="14" t="str">
        <x:v>Included proposal</x:v>
      </x:c>
      <x:c r="D45" s="8" t="str">
        <x:v>Release blocker</x:v>
      </x:c>
      <x:c r="E45" s="8" t="str">
        <x:v>P&amp;L calculation and selector exist. API/schema-shaped synthetic input returned income 0 instead of 200.</x:v>
      </x:c>
      <x:c r="F45" s="8" t="str">
        <x:v>Wire canonical posted lines/account classifications and reconcile P&amp;L to the ledger with period/correction fixtures.</x:v>
      </x:c>
      <x:c r="G45" s="8" t="str">
        <x:v>W09</x:v>
      </x:c>
      <x:c r="H45" s="8" t="str">
        <x:v>Unverified</x:v>
      </x:c>
      <x:c r="I45" s="8" t="str">
        <x:v>F</x:v>
      </x:c>
      <x:c r="J45" s="8"/>
      <x:c r="K45" s="8" t="str">
        <x:v>https://github.com/Future00111/ledgerpoint/blob/085b7e0491d9adbbebcc7e8db384c575bcfa2aca/artifacts/ledgerly/src/lib/reportCalculations.js</x:v>
      </x:c>
    </x:row>
    <x:row r="46" ht="88" customHeight="1">
      <x:c r="A46" s="8" t="n">
        <x:v>40</x:v>
      </x:c>
      <x:c r="B46" s="8" t="str">
        <x:v>Balance Sheet</x:v>
      </x:c>
      <x:c r="C46" s="14" t="str">
        <x:v>Included proposal</x:v>
      </x:c>
      <x:c r="D46" s="8" t="str">
        <x:v>Blocked integration</x:v>
      </x:c>
      <x:c r="E46" s="8" t="str">
        <x:v>Balance Sheet calculation and selector exist. Earlier missing-screen label is stale; canonical authority is still absent.</x:v>
      </x:c>
      <x:c r="F46" s="8" t="str">
        <x:v>Reconcile assets, liabilities, equity and current earnings as-of the chosen date to canonical journals.</x:v>
      </x:c>
      <x:c r="G46" s="8" t="str">
        <x:v>W09</x:v>
      </x:c>
      <x:c r="H46" s="8" t="str">
        <x:v>Unverified</x:v>
      </x:c>
      <x:c r="I46" s="8" t="str">
        <x:v>F</x:v>
      </x:c>
      <x:c r="J46" s="8"/>
      <x:c r="K46" s="8" t="str">
        <x:v>https://github.com/Future00111/ledgerpoint/blob/085b7e0491d9adbbebcc7e8db384c575bcfa2aca/artifacts/ledgerly/src/lib/reportCalculations.js</x:v>
      </x:c>
    </x:row>
    <x:row r="47" ht="88" customHeight="1">
      <x:c r="A47" s="8" t="n">
        <x:v>41</x:v>
      </x:c>
      <x:c r="B47" s="8" t="str">
        <x:v>Trial Balance</x:v>
      </x:c>
      <x:c r="C47" s="14" t="str">
        <x:v>Included proposal</x:v>
      </x:c>
      <x:c r="D47" s="8" t="str">
        <x:v>Release blocker</x:v>
      </x:c>
      <x:c r="E47" s="8" t="str">
        <x:v>Trial-balance function exists, but is absent from the current report selector. Schema-shaped fixture produced debit 0 instead of 200.</x:v>
      </x:c>
      <x:c r="F47" s="8" t="str">
        <x:v>Expose the approved report and reconcile canonical debit/credit totals with complete pagination and safe numeric conversion.</x:v>
      </x:c>
      <x:c r="G47" s="8" t="str">
        <x:v>W09</x:v>
      </x:c>
      <x:c r="H47" s="8" t="str">
        <x:v>Unverified</x:v>
      </x:c>
      <x:c r="I47" s="8" t="str">
        <x:v>F</x:v>
      </x:c>
      <x:c r="J47" s="8"/>
      <x:c r="K47" s="8" t="str">
        <x:v>https://github.com/Future00111/ledgerpoint/blob/085b7e0491d9adbbebcc7e8db384c575bcfa2aca/artifacts/ledgerly/src/components/reports/ReportSelector.jsx</x:v>
      </x:c>
    </x:row>
    <x:row r="48" ht="88" customHeight="1">
      <x:c r="A48" s="8" t="n">
        <x:v>42</x:v>
      </x:c>
      <x:c r="B48" s="8" t="str">
        <x:v>General Ledger</x:v>
      </x:c>
      <x:c r="C48" s="14" t="str">
        <x:v>Included proposal</x:v>
      </x:c>
      <x:c r="D48" s="8" t="str">
        <x:v>Blocked integration</x:v>
      </x:c>
      <x:c r="E48" s="8" t="str">
        <x:v>General Ledger UI still reads the legacy JournalEntry entity.</x:v>
      </x:c>
      <x:c r="F48" s="8" t="str">
        <x:v>Display canonical lines and source/audit drill-down with controlled periods and complete pagination.</x:v>
      </x:c>
      <x:c r="G48" s="8" t="str">
        <x:v>W09</x:v>
      </x:c>
      <x:c r="H48" s="8" t="str">
        <x:v>Unverified</x:v>
      </x:c>
      <x:c r="I48" s="8" t="str">
        <x:v>B</x:v>
      </x:c>
      <x:c r="J48" s="8"/>
      <x:c r="K48" s="8" t="str">
        <x:v>https://github.com/Future00111/ledgerpoint/blob/085b7e0491d9adbbebcc7e8db384c575bcfa2aca/artifacts/ledgerly/src/pages/GeneralLedger.jsx</x:v>
      </x:c>
    </x:row>
    <x:row r="49" ht="88" customHeight="1">
      <x:c r="A49" s="8" t="n">
        <x:v>43</x:v>
      </x:c>
      <x:c r="B49" s="8" t="str">
        <x:v>VAT reports</x:v>
      </x:c>
      <x:c r="C49" s="14" t="str">
        <x:v>Included proposal</x:v>
      </x:c>
      <x:c r="D49" s="8" t="str">
        <x:v>Partial</x:v>
      </x:c>
      <x:c r="E49" s="8" t="str">
        <x:v>VAT UI and legacy VAT summary exist.</x:v>
      </x:c>
      <x:c r="F49" s="8" t="str">
        <x:v>Generate reconciled box/evidence reports from the accepted VAT authority and prove export parity.</x:v>
      </x:c>
      <x:c r="G49" s="8" t="str">
        <x:v>W08</x:v>
      </x:c>
      <x:c r="H49" s="8" t="str">
        <x:v>Unverified</x:v>
      </x:c>
      <x:c r="I49" s="8" t="str">
        <x:v>B</x:v>
      </x:c>
      <x:c r="J49" s="8"/>
      <x:c r="K49" s="8" t="str">
        <x:v>https://github.com/Future00111/ledgerpoint/blob/085b7e0491d9adbbebcc7e8db384c575bcfa2aca/artifacts/ledgerly/src/pages/VATReturnDetail.jsx</x:v>
      </x:c>
    </x:row>
    <x:row r="50" ht="88" customHeight="1">
      <x:c r="A50" s="8" t="n">
        <x:v>44</x:v>
      </x:c>
      <x:c r="B50" s="8" t="str">
        <x:v>Aged debtors</x:v>
      </x:c>
      <x:c r="C50" s="14" t="str">
        <x:v>Included proposal</x:v>
      </x:c>
      <x:c r="D50" s="8" t="str">
        <x:v>Partial</x:v>
      </x:c>
      <x:c r="E50" s="8" t="str">
        <x:v>Aged-debtor calculator/selector and collections views exist.</x:v>
      </x:c>
      <x:c r="F50" s="8" t="str">
        <x:v>Derive aging from accepted open items/allocations, preserving date and unapplied-credit semantics.</x:v>
      </x:c>
      <x:c r="G50" s="8" t="str">
        <x:v>W09</x:v>
      </x:c>
      <x:c r="H50" s="8" t="str">
        <x:v>Unverified</x:v>
      </x:c>
      <x:c r="I50" s="8" t="str">
        <x:v>C</x:v>
      </x:c>
      <x:c r="J50" s="8"/>
      <x:c r="K50" s="8" t="str">
        <x:v>https://github.com/Future00111/ledgerpoint/blob/085b7e0491d9adbbebcc7e8db384c575bcfa2aca/artifacts/ledgerly/src/lib/reportCalculations.js</x:v>
      </x:c>
    </x:row>
    <x:row r="51" ht="88" customHeight="1">
      <x:c r="A51" s="8" t="n">
        <x:v>45</x:v>
      </x:c>
      <x:c r="B51" s="8" t="str">
        <x:v>Aged creditors</x:v>
      </x:c>
      <x:c r="C51" s="14" t="str">
        <x:v>Included proposal</x:v>
      </x:c>
      <x:c r="D51" s="8" t="str">
        <x:v>Partial</x:v>
      </x:c>
      <x:c r="E51" s="8" t="str">
        <x:v>Aged-creditor calculator/selector exist. Earlier absent-report label is stale.</x:v>
      </x:c>
      <x:c r="F51" s="8" t="str">
        <x:v>Reconcile supplier aging/open items to canonical AP and allocations with numeric-string and cutoff tests.</x:v>
      </x:c>
      <x:c r="G51" s="8" t="str">
        <x:v>W09</x:v>
      </x:c>
      <x:c r="H51" s="8" t="str">
        <x:v>Unverified</x:v>
      </x:c>
      <x:c r="I51" s="8" t="str">
        <x:v>F</x:v>
      </x:c>
      <x:c r="J51" s="8"/>
      <x:c r="K51" s="8" t="str">
        <x:v>https://github.com/Future00111/ledgerpoint/blob/085b7e0491d9adbbebcc7e8db384c575bcfa2aca/artifacts/ledgerly/src/lib/reportCalculations.js</x:v>
      </x:c>
    </x:row>
    <x:row r="52" ht="88" customHeight="1">
      <x:c r="A52" s="8" t="n">
        <x:v>46</x:v>
      </x:c>
      <x:c r="B52" s="8" t="str">
        <x:v>Cash/bank reporting</x:v>
      </x:c>
      <x:c r="C52" s="14" t="str">
        <x:v>Included proposal</x:v>
      </x:c>
      <x:c r="D52" s="8" t="str">
        <x:v>Release blocker</x:v>
      </x:c>
      <x:c r="E52" s="8" t="str">
        <x:v>Bank reconciliation summary exists; decimal-string fixture returned NaN for a 150 net inflow.</x:v>
      </x:c>
      <x:c r="F52" s="8" t="str">
        <x:v>Use accepted cash journals/bank reconciliation and safe money aggregation; verify statement/ledger parity.</x:v>
      </x:c>
      <x:c r="G52" s="8" t="str">
        <x:v>W09</x:v>
      </x:c>
      <x:c r="H52" s="8" t="str">
        <x:v>Unverified</x:v>
      </x:c>
      <x:c r="I52" s="8" t="str">
        <x:v>C</x:v>
      </x:c>
      <x:c r="J52" s="8"/>
      <x:c r="K52" s="8" t="str">
        <x:v>https://github.com/Future00111/ledgerpoint/blob/085b7e0491d9adbbebcc7e8db384c575bcfa2aca/artifacts/ledgerly/src/lib/reportCalculations.js</x:v>
      </x:c>
    </x:row>
    <x:row r="53" ht="88" customHeight="1">
      <x:c r="A53" s="8" t="n">
        <x:v>47</x:v>
      </x:c>
      <x:c r="B53" s="8" t="str">
        <x:v>Search</x:v>
      </x:c>
      <x:c r="C53" s="14" t="str">
        <x:v>Included proposal</x:v>
      </x:c>
      <x:c r="D53" s="8" t="str">
        <x:v>Partial</x:v>
      </x:c>
      <x:c r="E53" s="8" t="str">
        <x:v>Page searches and Ask modal/provider exist.</x:v>
      </x:c>
      <x:c r="F53" s="8" t="str">
        <x:v>Prove company/capability-safe discovery and opening of every pilot object; advanced fuzzy/saved search is a separate scope decision.</x:v>
      </x:c>
      <x:c r="G53" s="8" t="str">
        <x:v>W11</x:v>
      </x:c>
      <x:c r="H53" s="8" t="str">
        <x:v>Unverified</x:v>
      </x:c>
      <x:c r="I53" s="8" t="str">
        <x:v>B</x:v>
      </x:c>
      <x:c r="J53" s="8"/>
      <x:c r="K53" s="8" t="str">
        <x:v>https://github.com/Future00111/ledgerpoint/blob/085b7e0491d9adbbebcc7e8db384c575bcfa2aca/artifacts/ledgerly/src/components/ask/AskProvider.jsx</x:v>
      </x:c>
    </x:row>
    <x:row r="54" ht="88" customHeight="1">
      <x:c r="A54" s="8" t="n">
        <x:v>48</x:v>
      </x:c>
      <x:c r="B54" s="8" t="str">
        <x:v>Filters</x:v>
      </x:c>
      <x:c r="C54" s="14" t="str">
        <x:v>Included proposal</x:v>
      </x:c>
      <x:c r="D54" s="8" t="str">
        <x:v>Partial</x:v>
      </x:c>
      <x:c r="E54" s="8" t="str">
        <x:v>Scalar and IN filters work in the client contract; other object operators are silently ignored.</x:v>
      </x:c>
      <x:c r="F54" s="8" t="str">
        <x:v>Validate/reject unsupported filters, support required date/status queries and test search/export completeness.</x:v>
      </x:c>
      <x:c r="G54" s="8" t="str">
        <x:v>W03</x:v>
      </x:c>
      <x:c r="H54" s="8" t="str">
        <x:v>Unverified</x:v>
      </x:c>
      <x:c r="I54" s="8" t="str">
        <x:v>B</x:v>
      </x:c>
      <x:c r="J54" s="8"/>
      <x:c r="K54" s="8" t="str">
        <x:v>https://github.com/Future00111/ledgerpoint/blob/085b7e0491d9adbbebcc7e8db384c575bcfa2aca/artifacts/ledgerly/src/api/entities.js</x:v>
      </x:c>
    </x:row>
    <x:row r="55" ht="88" customHeight="1">
      <x:c r="A55" s="8" t="n">
        <x:v>49</x:v>
      </x:c>
      <x:c r="B55" s="8" t="str">
        <x:v>Exports</x:v>
      </x:c>
      <x:c r="C55" s="14" t="str">
        <x:v>Included proposal</x:v>
      </x:c>
      <x:c r="D55" s="8" t="str">
        <x:v>Partial</x:v>
      </x:c>
      <x:c r="E55" s="8" t="str">
        <x:v>PDF/CSV/XLSX helpers and controls exist.</x:v>
      </x:c>
      <x:c r="F55" s="8" t="str">
        <x:v>Export accepted report data with permission/audit, complete datasets, safe formatting and parity to the visible report.</x:v>
      </x:c>
      <x:c r="G55" s="8" t="str">
        <x:v>W09</x:v>
      </x:c>
      <x:c r="H55" s="8" t="str">
        <x:v>Unverified</x:v>
      </x:c>
      <x:c r="I55" s="8" t="str">
        <x:v>B</x:v>
      </x:c>
      <x:c r="J55" s="8"/>
      <x:c r="K55" s="8" t="str">
        <x:v>https://github.com/Future00111/ledgerpoint/blob/085b7e0491d9adbbebcc7e8db384c575bcfa2aca/artifacts/ledgerly/src/lib/reportExports.js</x:v>
      </x:c>
    </x:row>
    <x:row r="56" ht="88" customHeight="1">
      <x:c r="A56" s="8" t="n">
        <x:v>50</x:v>
      </x:c>
      <x:c r="B56" s="8" t="str">
        <x:v>Document generation</x:v>
      </x:c>
      <x:c r="C56" s="14" t="str">
        <x:v>Included proposal</x:v>
      </x:c>
      <x:c r="D56" s="8" t="str">
        <x:v>Partial</x:v>
      </x:c>
      <x:c r="E56" s="8" t="str">
        <x:v>InvoiceDocument and PDF generation exist.</x:v>
      </x:c>
      <x:c r="F56" s="8" t="str">
        <x:v>Preserve issued copies, approved branding/data, document access and durable storage. Provider email is a scope decision.</x:v>
      </x:c>
      <x:c r="G56" s="8" t="str">
        <x:v>W10</x:v>
      </x:c>
      <x:c r="H56" s="8" t="str">
        <x:v>Unverified</x:v>
      </x:c>
      <x:c r="I56" s="8" t="str">
        <x:v>B</x:v>
      </x:c>
      <x:c r="J56" s="8"/>
      <x:c r="K56" s="8" t="str">
        <x:v>https://github.com/Future00111/ledgerpoint/blob/085b7e0491d9adbbebcc7e8db384c575bcfa2aca/artifacts/ledgerly/src/components/invoices/InvoiceDocument.jsx</x:v>
      </x:c>
    </x:row>
    <x:row r="57" ht="88" customHeight="1">
      <x:c r="A57" s="8" t="n">
        <x:v>51</x:v>
      </x:c>
      <x:c r="B57" s="8" t="str">
        <x:v>AI Accountant</x:v>
      </x:c>
      <x:c r="C57" s="14" t="str">
        <x:v>Included proposal</x:v>
      </x:c>
      <x:c r="D57" s="8" t="str">
        <x:v>Partial</x:v>
      </x:c>
      <x:c r="E57" s="8" t="str">
        <x:v>AI review/task services and Ask provider route exist; generic compatibility integrations also contain stubs.</x:v>
      </x:c>
      <x:c r="F57" s="8" t="str">
        <x:v>Validate source-grounded explanations, uncertainty, permissions and safe handoffs for the pilot; do not infer all AI is a stub.</x:v>
      </x:c>
      <x:c r="G57" s="8" t="str">
        <x:v>W11</x:v>
      </x:c>
      <x:c r="H57" s="8" t="str">
        <x:v>Unverified</x:v>
      </x:c>
      <x:c r="I57" s="8" t="str">
        <x:v>B</x:v>
      </x:c>
      <x:c r="J57" s="8"/>
      <x:c r="K57" s="8" t="str">
        <x:v>https://github.com/Future00111/ledgerpoint/blob/085b7e0491d9adbbebcc7e8db384c575bcfa2aca/artifacts/api-server/src/routes/functions.ts</x:v>
      </x:c>
    </x:row>
    <x:row r="58" ht="88" customHeight="1">
      <x:c r="A58" s="8" t="n">
        <x:v>52</x:v>
      </x:c>
      <x:c r="B58" s="8" t="str">
        <x:v>AI task queue</x:v>
      </x:c>
      <x:c r="C58" s="14" t="str">
        <x:v>Included proposal</x:v>
      </x:c>
      <x:c r="D58" s="8" t="str">
        <x:v>Partial</x:v>
      </x:c>
      <x:c r="E58" s="8" t="str">
        <x:v>Task engine, inbox, review and recommendation pages exist.</x:v>
      </x:c>
      <x:c r="F58" s="8" t="str">
        <x:v>Prove task lifecycle, pagination, stale context handling and company-safe actions across pilot workflows.</x:v>
      </x:c>
      <x:c r="G58" s="8" t="str">
        <x:v>W11</x:v>
      </x:c>
      <x:c r="H58" s="8" t="str">
        <x:v>Unverified</x:v>
      </x:c>
      <x:c r="I58" s="8" t="str">
        <x:v>B</x:v>
      </x:c>
      <x:c r="J58" s="8"/>
      <x:c r="K58" s="8" t="str">
        <x:v>https://github.com/Future00111/ledgerpoint/blob/085b7e0491d9adbbebcc7e8db384c575bcfa2aca/artifacts/api-server/src/services/ai-accountant/taskEngine.ts</x:v>
      </x:c>
    </x:row>
    <x:row r="59" ht="88" customHeight="1">
      <x:c r="A59" s="8" t="n">
        <x:v>53</x:v>
      </x:c>
      <x:c r="B59" s="8" t="str">
        <x:v>AI explanations</x:v>
      </x:c>
      <x:c r="C59" s="14" t="str">
        <x:v>Included proposal</x:v>
      </x:c>
      <x:c r="D59" s="8" t="str">
        <x:v>Partial</x:v>
      </x:c>
      <x:c r="E59" s="8" t="str">
        <x:v>Explain service and rationale cards exist.</x:v>
      </x:c>
      <x:c r="F59" s="8" t="str">
        <x:v>Bind every pilot recommendation to current evidence and expose uncertainty; test misleading/unsupported context.</x:v>
      </x:c>
      <x:c r="G59" s="8" t="str">
        <x:v>W11</x:v>
      </x:c>
      <x:c r="H59" s="8" t="str">
        <x:v>Unverified</x:v>
      </x:c>
      <x:c r="I59" s="8" t="str">
        <x:v>B</x:v>
      </x:c>
      <x:c r="J59" s="8"/>
      <x:c r="K59" s="8" t="str">
        <x:v>https://github.com/Future00111/ledgerpoint/blob/085b7e0491d9adbbebcc7e8db384c575bcfa2aca/artifacts/api-server/src/services/ai-accountant/explain.ts</x:v>
      </x:c>
    </x:row>
    <x:row r="60" ht="88" customHeight="1">
      <x:c r="A60" s="8" t="n">
        <x:v>54</x:v>
      </x:c>
      <x:c r="B60" s="8" t="str">
        <x:v>AI approvals</x:v>
      </x:c>
      <x:c r="C60" s="14" t="str">
        <x:v>Included proposal</x:v>
      </x:c>
      <x:c r="D60" s="8" t="str">
        <x:v>Partial</x:v>
      </x:c>
      <x:c r="E60" s="8" t="str">
        <x:v>Explicit approvals exist in reconciliation/VAT and the qualified core checks accounting capabilities.</x:v>
      </x:c>
      <x:c r="F60" s="8" t="str">
        <x:v>Make product approval boundaries consistent and transactional; prove role and source-change races.</x:v>
      </x:c>
      <x:c r="G60" s="8" t="str">
        <x:v>W03</x:v>
      </x:c>
      <x:c r="H60" s="8" t="str">
        <x:v>Unverified</x:v>
      </x:c>
      <x:c r="I60" s="8" t="str">
        <x:v>B</x:v>
      </x:c>
      <x:c r="J60" s="8"/>
      <x:c r="K60" s="8" t="str">
        <x:v>https://github.com/Future00111/ledgerpoint/blob/085b7e0491d9adbbebcc7e8db384c575bcfa2aca/artifacts/api-server/src/services/ai-accountant/approval.ts</x:v>
      </x:c>
    </x:row>
    <x:row r="61" ht="88" customHeight="1">
      <x:c r="A61" s="8" t="n">
        <x:v>55</x:v>
      </x:c>
      <x:c r="B61" s="8" t="str">
        <x:v>AI automation</x:v>
      </x:c>
      <x:c r="C61" s="14" t="str">
        <x:v>Included proposal</x:v>
      </x:c>
      <x:c r="D61" s="8" t="str">
        <x:v>Partial</x:v>
      </x:c>
      <x:c r="E61" s="8" t="str">
        <x:v>A process-local scheduler and import-triggered analysis exist. Earlier scheduler-absent label is stale.</x:v>
      </x:c>
      <x:c r="F61" s="8" t="str">
        <x:v>Keep analysis-only pilot behavior; prove no unintended writes, cancellation/deduplication and multi-instance operating policy.</x:v>
      </x:c>
      <x:c r="G61" s="8" t="str">
        <x:v>W14</x:v>
      </x:c>
      <x:c r="H61" s="8" t="str">
        <x:v>Unverified</x:v>
      </x:c>
      <x:c r="I61" s="8" t="str">
        <x:v>B</x:v>
      </x:c>
      <x:c r="J61" s="8"/>
      <x:c r="K61" s="8" t="str">
        <x:v>https://github.com/Future00111/ledgerpoint/blob/085b7e0491d9adbbebcc7e8db384c575bcfa2aca/artifacts/api-server/src/services/ai-accountant/scheduler.ts</x:v>
      </x:c>
    </x:row>
    <x:row r="62" ht="88" customHeight="1">
      <x:c r="A62" s="8" t="n">
        <x:v>56</x:v>
      </x:c>
      <x:c r="B62" s="8" t="str">
        <x:v>Collections automation</x:v>
      </x:c>
      <x:c r="C62" s="14" t="str">
        <x:v>Defer proposal</x:v>
      </x:c>
      <x:c r="D62" s="8" t="str">
        <x:v>Manual handoff only</x:v>
      </x:c>
      <x:c r="E62" s="8" t="str">
        <x:v>Reminder approval opens the user email app; the user can manually mark it sent.</x:v>
      </x:c>
      <x:c r="F62" s="8" t="str">
        <x:v>Automated/provider sending is deferred in this draft; any later delivery must be approved, idempotent and auditable.</x:v>
      </x:c>
      <x:c r="G62" s="8" t="str">
        <x:v>D02</x:v>
      </x:c>
      <x:c r="H62" s="8" t="str">
        <x:v>Unverified</x:v>
      </x:c>
      <x:c r="I62" s="8" t="str">
        <x:v>C</x:v>
      </x:c>
      <x:c r="J62" s="8"/>
      <x:c r="K62" s="8" t="str">
        <x:v>https://github.com/Future00111/ledgerpoint/blob/085b7e0491d9adbbebcc7e8db384c575bcfa2aca/artifacts/ledgerly/src/components/collections/ReminderDraftDialog.jsx</x:v>
      </x:c>
    </x:row>
    <x:row r="63" ht="88" customHeight="1">
      <x:c r="A63" s="8" t="n">
        <x:v>57</x:v>
      </x:c>
      <x:c r="B63" s="8" t="str">
        <x:v>Bank automation</x:v>
      </x:c>
      <x:c r="C63" s="14" t="str">
        <x:v>Included proposal</x:v>
      </x:c>
      <x:c r="D63" s="8" t="str">
        <x:v>Partial</x:v>
      </x:c>
      <x:c r="E63" s="8" t="str">
        <x:v>CSV import analysis, transfer and recurrence detection exist.</x:v>
      </x:c>
      <x:c r="F63" s="8" t="str">
        <x:v>Prove recovery and monitoring for included analysis; live feed/provider automation is deferred in this draft.</x:v>
      </x:c>
      <x:c r="G63" s="8" t="str">
        <x:v>W07</x:v>
      </x:c>
      <x:c r="H63" s="8" t="str">
        <x:v>Unverified</x:v>
      </x:c>
      <x:c r="I63" s="8" t="str">
        <x:v>B</x:v>
      </x:c>
      <x:c r="J63" s="8"/>
      <x:c r="K63" s="8" t="str">
        <x:v>https://github.com/Future00111/ledgerpoint/blob/085b7e0491d9adbbebcc7e8db384c575bcfa2aca/artifacts/api-server/src/services/ai-accountant/analysis.ts</x:v>
      </x:c>
    </x:row>
    <x:row r="64" ht="88" customHeight="1">
      <x:c r="A64" s="8" t="n">
        <x:v>58</x:v>
      </x:c>
      <x:c r="B64" s="8" t="str">
        <x:v>Reconciliation automation</x:v>
      </x:c>
      <x:c r="C64" s="14" t="str">
        <x:v>Included proposal</x:v>
      </x:c>
      <x:c r="D64" s="8" t="str">
        <x:v>Blocked integration</x:v>
      </x:c>
      <x:c r="E64" s="8" t="str">
        <x:v>Batch review/approval exists; autonomous posting is not part of the proposed pilot.</x:v>
      </x:c>
      <x:c r="F64" s="8" t="str">
        <x:v>Prove explicit approval creates one accepted accounting effect and rejects stale/duplicate/ambiguous matches.</x:v>
      </x:c>
      <x:c r="G64" s="8" t="str">
        <x:v>W07</x:v>
      </x:c>
      <x:c r="H64" s="8" t="str">
        <x:v>Unverified</x:v>
      </x:c>
      <x:c r="I64" s="8" t="str">
        <x:v>B</x:v>
      </x:c>
      <x:c r="J64" s="8"/>
      <x:c r="K64" s="8" t="str">
        <x:v>https://github.com/Future00111/ledgerpoint/blob/085b7e0491d9adbbebcc7e8db384c575bcfa2aca/artifacts/api-server/src/services/ai-accountant/approval.ts</x:v>
      </x:c>
    </x:row>
    <x:row r="65" ht="88" customHeight="1">
      <x:c r="A65" s="8" t="n">
        <x:v>59</x:v>
      </x:c>
      <x:c r="B65" s="8" t="str">
        <x:v>Recurring transaction automation</x:v>
      </x:c>
      <x:c r="C65" s="14" t="str">
        <x:v>Defer proposal</x:v>
      </x:c>
      <x:c r="D65" s="8" t="str">
        <x:v>Detection only</x:v>
      </x:c>
      <x:c r="E65" s="8" t="str">
        <x:v>Recurrence detector exists without a complete scheduled generation workflow.</x:v>
      </x:c>
      <x:c r="F65" s="8" t="str">
        <x:v>Defer generated recurring transactions unless separately included and approved.</x:v>
      </x:c>
      <x:c r="G65" s="8" t="str">
        <x:v>D02</x:v>
      </x:c>
      <x:c r="H65" s="8" t="str">
        <x:v>Unverified</x:v>
      </x:c>
      <x:c r="I65" s="8" t="str">
        <x:v>C</x:v>
      </x:c>
      <x:c r="J65" s="8"/>
      <x:c r="K65" s="8" t="str">
        <x:v>https://github.com/Future00111/ledgerpoint/blob/085b7e0491d9adbbebcc7e8db384c575bcfa2aca/artifacts/api-server/src/services/ai-accountant/detectors.ts</x:v>
      </x:c>
    </x:row>
    <x:row r="66" ht="88" customHeight="1">
      <x:c r="A66" s="8" t="n">
        <x:v>60</x:v>
      </x:c>
      <x:c r="B66" s="8" t="str">
        <x:v>Notifications</x:v>
      </x:c>
      <x:c r="C66" s="14" t="str">
        <x:v>Defer proposal</x:v>
      </x:c>
      <x:c r="D66" s="8" t="str">
        <x:v>Placeholder</x:v>
      </x:c>
      <x:c r="E66" s="8" t="str">
        <x:v>Notification settings are labelled coming soon.</x:v>
      </x:c>
      <x:c r="F66" s="8" t="str">
        <x:v>Decide launch channels; pilot errors and actionable in-app states remain mandatory regardless of delivery-platform deferral.</x:v>
      </x:c>
      <x:c r="G66" s="8" t="str">
        <x:v>D02</x:v>
      </x:c>
      <x:c r="H66" s="8" t="str">
        <x:v>Unverified</x:v>
      </x:c>
      <x:c r="I66" s="8" t="str">
        <x:v>E</x:v>
      </x:c>
      <x:c r="J66" s="8"/>
      <x:c r="K66" s="8" t="str">
        <x:v>https://github.com/Future00111/ledgerpoint/blob/085b7e0491d9adbbebcc7e8db384c575bcfa2aca/artifacts/ledgerly/src/pages/Settings.jsx</x:v>
      </x:c>
    </x:row>
    <x:row r="67" ht="88" customHeight="1">
      <x:c r="A67" s="8" t="n">
        <x:v>61</x:v>
      </x:c>
      <x:c r="B67" s="8" t="str">
        <x:v>Tasks</x:v>
      </x:c>
      <x:c r="C67" s="14" t="str">
        <x:v>Included proposal</x:v>
      </x:c>
      <x:c r="D67" s="8" t="str">
        <x:v>Partial</x:v>
      </x:c>
      <x:c r="E67" s="8" t="str">
        <x:v>AI tasks/workflow records exist; a general assignment workflow is unproven.</x:v>
      </x:c>
      <x:c r="F67" s="8" t="str">
        <x:v>Complete included AI task lifecycle; general assignments/due dates/notifications require a separate scope decision.</x:v>
      </x:c>
      <x:c r="G67" s="8" t="str">
        <x:v>W11</x:v>
      </x:c>
      <x:c r="H67" s="8" t="str">
        <x:v>Unverified</x:v>
      </x:c>
      <x:c r="I67" s="8" t="str">
        <x:v>B</x:v>
      </x:c>
      <x:c r="J67" s="8"/>
      <x:c r="K67" s="8" t="str">
        <x:v>https://github.com/Future00111/ledgerpoint/blob/085b7e0491d9adbbebcc7e8db384c575bcfa2aca/artifacts/ledgerly/src/pages/AIAccountantTasks.jsx</x:v>
      </x:c>
    </x:row>
    <x:row r="68" ht="88" customHeight="1">
      <x:c r="A68" s="8" t="n">
        <x:v>62</x:v>
      </x:c>
      <x:c r="B68" s="8" t="str">
        <x:v>Audit trail</x:v>
      </x:c>
      <x:c r="C68" s="14" t="str">
        <x:v>Included proposal</x:v>
      </x:c>
      <x:c r="D68" s="8" t="str">
        <x:v>Partial</x:v>
      </x:c>
      <x:c r="E68" s="8" t="str">
        <x:v>Canonical audit persistence and domain VAT/reconciliation audit records exist.</x:v>
      </x:c>
      <x:c r="F68" s="8" t="str">
        <x:v>Prove append-only coverage and authorized source/object history for every consequential pilot action.</x:v>
      </x:c>
      <x:c r="G68" s="8" t="str">
        <x:v>W13</x:v>
      </x:c>
      <x:c r="H68" s="8" t="str">
        <x:v>Unverified</x:v>
      </x:c>
      <x:c r="I68" s="8" t="str">
        <x:v>B</x:v>
      </x:c>
      <x:c r="J68" s="8"/>
      <x:c r="K68" s="8" t="str">
        <x:v>https://github.com/Future00111/ledgerpoint/blob/085b7e0491d9adbbebcc7e8db384c575bcfa2aca/artifacts/api-server/src/services/accounting/canonicalPosting.ts</x:v>
      </x:c>
    </x:row>
    <x:row r="69" ht="88" customHeight="1">
      <x:c r="A69" s="8" t="n">
        <x:v>63</x:v>
      </x:c>
      <x:c r="B69" s="8" t="str">
        <x:v>Activity history</x:v>
      </x:c>
      <x:c r="C69" s="14" t="str">
        <x:v>Included proposal</x:v>
      </x:c>
      <x:c r="D69" s="8" t="str">
        <x:v>Partial</x:v>
      </x:c>
      <x:c r="E69" s="8" t="str">
        <x:v>Workflow activity and workspace timeline components exist.</x:v>
      </x:c>
      <x:c r="F69" s="8" t="str">
        <x:v>Complete included object history/filtering and prove company isolation; broad activity views are scope-dependent.</x:v>
      </x:c>
      <x:c r="G69" s="8" t="str">
        <x:v>W11</x:v>
      </x:c>
      <x:c r="H69" s="8" t="str">
        <x:v>Unverified</x:v>
      </x:c>
      <x:c r="I69" s="8" t="str">
        <x:v>B</x:v>
      </x:c>
      <x:c r="J69" s="8"/>
      <x:c r="K69" s="8" t="str">
        <x:v>https://github.com/Future00111/ledgerpoint/blob/085b7e0491d9adbbebcc7e8db384c575bcfa2aca/artifacts/ledgerly/src/components/workspace/useWorkspaceAsk.js</x:v>
      </x:c>
    </x:row>
    <x:row r="70" ht="88" customHeight="1">
      <x:c r="A70" s="8" t="n">
        <x:v>64</x:v>
      </x:c>
      <x:c r="B70" s="8" t="str">
        <x:v>Company settings</x:v>
      </x:c>
      <x:c r="C70" s="14" t="str">
        <x:v>Included proposal</x:v>
      </x:c>
      <x:c r="D70" s="8" t="str">
        <x:v>Partial</x:v>
      </x:c>
      <x:c r="E70" s="8" t="str">
        <x:v>Company/member/VAT/automation settings exist; broad company update input remains.</x:v>
      </x:c>
      <x:c r="F70" s="8" t="str">
        <x:v>Apply approved capability and field contracts to all consequential settings and test historical configuration preservation.</x:v>
      </x:c>
      <x:c r="G70" s="8" t="str">
        <x:v>W03</x:v>
      </x:c>
      <x:c r="H70" s="8" t="str">
        <x:v>Unverified</x:v>
      </x:c>
      <x:c r="I70" s="8" t="str">
        <x:v>B</x:v>
      </x:c>
      <x:c r="J70" s="8"/>
      <x:c r="K70" s="8" t="str">
        <x:v>https://github.com/Future00111/ledgerpoint/blob/085b7e0491d9adbbebcc7e8db384c575bcfa2aca/artifacts/api-server/src/routes/companies.ts</x:v>
      </x:c>
    </x:row>
    <x:row r="71" ht="88" customHeight="1">
      <x:c r="A71" s="8" t="n">
        <x:v>65</x:v>
      </x:c>
      <x:c r="B71" s="8" t="str">
        <x:v>User settings</x:v>
      </x:c>
      <x:c r="C71" s="14" t="str">
        <x:v>Included proposal</x:v>
      </x:c>
      <x:c r="D71" s="8" t="str">
        <x:v>Partial</x:v>
      </x:c>
      <x:c r="E71" s="8" t="str">
        <x:v>Clerk account/profile information and settings exist.</x:v>
      </x:c>
      <x:c r="F71" s="8" t="str">
        <x:v>Prove profile/recovery handoff and basic preferences; notification preferences depend on launch scope.</x:v>
      </x:c>
      <x:c r="G71" s="8" t="str">
        <x:v>W11</x:v>
      </x:c>
      <x:c r="H71" s="8" t="str">
        <x:v>Unverified</x:v>
      </x:c>
      <x:c r="I71" s="8" t="str">
        <x:v>C</x:v>
      </x:c>
      <x:c r="J71" s="8"/>
      <x:c r="K71" s="8" t="str">
        <x:v>https://github.com/Future00111/ledgerpoint/blob/085b7e0491d9adbbebcc7e8db384c575bcfa2aca/artifacts/ledgerly/src/pages/Settings.jsx</x:v>
      </x:c>
    </x:row>
    <x:row r="72" ht="88" customHeight="1">
      <x:c r="A72" s="8" t="n">
        <x:v>66</x:v>
      </x:c>
      <x:c r="B72" s="8" t="str">
        <x:v>Import/export</x:v>
      </x:c>
      <x:c r="C72" s="14" t="str">
        <x:v>Included proposal</x:v>
      </x:c>
      <x:c r="D72" s="8" t="str">
        <x:v>Partial</x:v>
      </x:c>
      <x:c r="E72" s="8" t="str">
        <x:v>CSV bank import and selected exports exist.</x:v>
      </x:c>
      <x:c r="F72" s="8" t="str">
        <x:v>Prove mapping/recovery/replay/audit and export completeness; broad legacy migration is excluded from this draft until reviewed.</x:v>
      </x:c>
      <x:c r="G72" s="8" t="str">
        <x:v>W12</x:v>
      </x:c>
      <x:c r="H72" s="8" t="str">
        <x:v>Unverified</x:v>
      </x:c>
      <x:c r="I72" s="8" t="str">
        <x:v>B</x:v>
      </x:c>
      <x:c r="J72" s="8"/>
      <x:c r="K72" s="8" t="str">
        <x:v>https://github.com/Future00111/ledgerpoint/blob/085b7e0491d9adbbebcc7e8db384c575bcfa2aca/artifacts/ledgerly/src/components/bank_transactions/ImportCSVDialog.jsx</x:v>
      </x:c>
    </x:row>
    <x:row r="73" ht="88" customHeight="1">
      <x:c r="A73" s="8" t="n">
        <x:v>67</x:v>
      </x:c>
      <x:c r="B73" s="8" t="str">
        <x:v>Error handling</x:v>
      </x:c>
      <x:c r="C73" s="14" t="str">
        <x:v>Included proposal</x:v>
      </x:c>
      <x:c r="D73" s="8" t="str">
        <x:v>Partial</x:v>
      </x:c>
      <x:c r="E73" s="8" t="str">
        <x:v>Error handling exists but many routes return raw exception messages.</x:v>
      </x:c>
      <x:c r="F73" s="8" t="str">
        <x:v>Use typed business errors, safe logging and visible recovery paths; test permission, timeout and provider failures.</x:v>
      </x:c>
      <x:c r="G73" s="8" t="str">
        <x:v>W03</x:v>
      </x:c>
      <x:c r="H73" s="8" t="str">
        <x:v>Unverified</x:v>
      </x:c>
      <x:c r="I73" s="8" t="str">
        <x:v>B</x:v>
      </x:c>
      <x:c r="J73" s="8"/>
      <x:c r="K73" s="8" t="str">
        <x:v>https://github.com/Future00111/ledgerpoint/blob/085b7e0491d9adbbebcc7e8db384c575bcfa2aca/artifacts/api-server/src/routes/entities.ts</x:v>
      </x:c>
    </x:row>
    <x:row r="74" ht="88" customHeight="1">
      <x:c r="A74" s="8" t="n">
        <x:v>68</x:v>
      </x:c>
      <x:c r="B74" s="8" t="str">
        <x:v>Empty states</x:v>
      </x:c>
      <x:c r="C74" s="14" t="str">
        <x:v>Included proposal</x:v>
      </x:c>
      <x:c r="D74" s="8" t="str">
        <x:v>Partial</x:v>
      </x:c>
      <x:c r="E74" s="8" t="str">
        <x:v>Many pages contain empty-state UI.</x:v>
      </x:c>
      <x:c r="F74" s="8" t="str">
        <x:v>Walk every pilot journey with no/partial data and provide actionable business-language guidance.</x:v>
      </x:c>
      <x:c r="G74" s="8" t="str">
        <x:v>W11</x:v>
      </x:c>
      <x:c r="H74" s="8" t="str">
        <x:v>Unverified</x:v>
      </x:c>
      <x:c r="I74" s="8" t="str">
        <x:v>B</x:v>
      </x:c>
      <x:c r="J74" s="8"/>
      <x:c r="K74" s="8" t="str">
        <x:v>https://github.com/Future00111/ledgerpoint/blob/085b7e0491d9adbbebcc7e8db384c575bcfa2aca/artifacts/ledgerly/src/pages/Documents.jsx</x:v>
      </x:c>
    </x:row>
    <x:row r="75" ht="88" customHeight="1">
      <x:c r="A75" s="8" t="n">
        <x:v>69</x:v>
      </x:c>
      <x:c r="B75" s="8" t="str">
        <x:v>Loading states</x:v>
      </x:c>
      <x:c r="C75" s="14" t="str">
        <x:v>Included proposal</x:v>
      </x:c>
      <x:c r="D75" s="8" t="str">
        <x:v>Partial</x:v>
      </x:c>
      <x:c r="E75" s="8" t="str">
        <x:v>Page loading indicators and task state exist.</x:v>
      </x:c>
      <x:c r="F75" s="8" t="str">
        <x:v>Prove cancellation, partial failure/retry and visible unavailable integrations without false success.</x:v>
      </x:c>
      <x:c r="G75" s="8" t="str">
        <x:v>W11</x:v>
      </x:c>
      <x:c r="H75" s="8" t="str">
        <x:v>Unverified</x:v>
      </x:c>
      <x:c r="I75" s="8" t="str">
        <x:v>B</x:v>
      </x:c>
      <x:c r="J75" s="8"/>
      <x:c r="K75" s="8" t="str">
        <x:v>https://github.com/Future00111/ledgerpoint/blob/085b7e0491d9adbbebcc7e8db384c575bcfa2aca/artifacts/ledgerly/src/pages/Reports.jsx</x:v>
      </x:c>
    </x:row>
    <x:row r="76" ht="88" customHeight="1">
      <x:c r="A76" s="8" t="n">
        <x:v>70</x:v>
      </x:c>
      <x:c r="B76" s="8" t="str">
        <x:v>Responsive/mobile experience</x:v>
      </x:c>
      <x:c r="C76" s="14" t="str">
        <x:v>Included proposal</x:v>
      </x:c>
      <x:c r="D76" s="8" t="str">
        <x:v>Unverified journeys</x:v>
      </x:c>
      <x:c r="E76" s="8" t="str">
        <x:v>Responsive components exist; a current mobile/keyboard/customer regression run was not performed.</x:v>
      </x:c>
      <x:c r="F76" s="8" t="str">
        <x:v>Pass desktop/tablet/mobile, keyboard/focus and error-recovery journeys for every pilot workflow.</x:v>
      </x:c>
      <x:c r="G76" s="8" t="str">
        <x:v>W13</x:v>
      </x:c>
      <x:c r="H76" s="8" t="str">
        <x:v>Unverified</x:v>
      </x:c>
      <x:c r="I76" s="8" t="str">
        <x:v>B</x:v>
      </x:c>
      <x:c r="J76" s="8"/>
      <x:c r="K76" s="8" t="str">
        <x:v>https://github.com/Future00111/ledgerpoint/blob/085b7e0491d9adbbebcc7e8db384c575bcfa2aca/artifacts/ledgerly/src/App.jsx</x:v>
      </x:c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</x:sheetData>
  <x:conditionalFormatting sqref="D7:D76">
    <x:cfRule type="containsText" dxfId="27" priority="1" operator="containsText" text="Release blocker"/>
    <x:cfRule type="containsText" dxfId="28" priority="2" operator="containsText" text="Blocked integration"/>
    <x:cfRule type="containsText" dxfId="29" priority="3" operator="containsText" text="Pending"/>
    <x:cfRule type="containsText" dxfId="30" priority="4" operator="containsText" text="Awaiting"/>
  </x:conditionalFormatting>
  <x:dataValidations count="1">
    <x:dataValidation type="list" sqref="C7:C76">
      <x:formula1>"Included proposal,Scope decision,Defer proposal,Included approved,Deferred 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38a0d618f14a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2" hidden="0" customWidth="1"/>
    <x:col min="3" max="3" width="65" hidden="0" customWidth="1"/>
    <x:col min="4" max="4" width="3" hidden="0" customWidth="1"/>
    <x:col min="5" max="5" width="65" hidden="0" customWidth="1"/>
    <x:col min="6" max="6" width="18" hidden="0" customWidth="1"/>
    <x:col min="7" max="7" width="18" hidden="0" customWidth="1"/>
    <x:col min="8" max="8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3" t="str">
        <x:v>Evidence and review boundaries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 t="str">
        <x:v>Reviewed workspace</x:v>
      </x:c>
      <x:c r="B4" s="2" t="str">
        <x:v>085b7e0491d9adbbebcc7e8db384c575bcfa2aca</x:v>
      </x:c>
      <x:c r="C4" s="2"/>
      <x:c r="D4" s="2"/>
      <x:c r="E4" s="2"/>
      <x:c r="F4" s="2"/>
      <x:c r="G4" s="2"/>
      <x:c r="H4" s="2"/>
    </x:row>
    <x:row r="5" ht="88" customHeight="1">
      <x:c r="A5" s="2" t="str">
        <x:v>Review level</x:v>
      </x:c>
      <x:c r="B5" s="8" t="str">
        <x:v>Static source assessment plus synthetic pure-function probes. No live customer/database/browser journeys run.</x:v>
      </x:c>
      <x:c r="C5" s="8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 ht="34" customHeight="1">
      <x:c r="A7" s="12" t="str">
        <x:v>Source</x:v>
      </x:c>
      <x:c r="B7" s="12" t="str">
        <x:v>Identity / result</x:v>
      </x:c>
      <x:c r="C7" s="12" t="str">
        <x:v>What it establishes</x:v>
      </x:c>
      <x:c r="D7" s="2"/>
      <x:c r="E7" s="12" t="str">
        <x:v>Link</x:v>
      </x:c>
      <x:c r="F7" s="2"/>
      <x:c r="G7" s="2"/>
      <x:c r="H7" s="2"/>
    </x:row>
    <x:row r="8" ht="78" customHeight="1">
      <x:c r="A8" s="8" t="str">
        <x:v>Exact workspace backup</x:v>
      </x:c>
      <x:c r="B8" s="8" t="str">
        <x:v>085b7e0491d9adbbebcc7e8db384c575bcfa2aca</x:v>
      </x:c>
      <x:c r="C8" s="8" t="str">
        <x:v>Remote branch SHA read back 2026-10-14; 612 files exported for read-only assessment.</x:v>
      </x:c>
      <x:c r="D8" s="2"/>
      <x:c r="E8" s="8" t="str">
        <x:v>https://github.com/Future00111/ledgerpoint/tree/085b7e0491d9adbbebcc7e8db384c575bcfa2aca</x:v>
      </x:c>
      <x:c r="F8" s="2"/>
      <x:c r="G8" s="2"/>
      <x:c r="H8" s="2"/>
    </x:row>
    <x:row r="9" ht="78" customHeight="1">
      <x:c r="A9" s="8" t="str">
        <x:v>PR26 activation</x:v>
      </x:c>
      <x:c r="B9" s="8" t="str">
        <x:v>ead19106aaad76d604e8595337b5ab2fddda68d0</x:v>
      </x:c>
      <x:c r="C9" s="8" t="str">
        <x:v>Fresh API: draft/open/unmerged, mergeable; base 0da401737f35d68b9404982baad7405fe997636a.</x:v>
      </x:c>
      <x:c r="D9" s="2"/>
      <x:c r="E9" s="8" t="str">
        <x:v>https://github.com/Future00111/ledgerpoint/pull/26</x:v>
      </x:c>
      <x:c r="F9" s="2"/>
      <x:c r="G9" s="2"/>
      <x:c r="H9" s="2"/>
    </x:row>
    <x:row r="10" ht="78" customHeight="1">
      <x:c r="A10" s="8" t="str">
        <x:v>Exact C7 qualification</x:v>
      </x:c>
      <x:c r="B10" s="8" t="str">
        <x:v>787d76decfa345e3c1104231e08d5ab00bc90259</x:v>
      </x:c>
      <x:c r="C10" s="8" t="str">
        <x:v>Run 38284785813 attempt 1 success. Prior independently verified 6 accounting, 18 negative and 5 cleanup checks.</x:v>
      </x:c>
      <x:c r="D10" s="2"/>
      <x:c r="E10" s="8" t="str">
        <x:v>https://github.com/Future00111/ledgerpoint/actions/runs/38284785813</x:v>
      </x:c>
      <x:c r="F10" s="2"/>
      <x:c r="G10" s="2"/>
      <x:c r="H10" s="2"/>
    </x:row>
    <x:row r="11" ht="78" customHeight="1">
      <x:c r="A11" s="8" t="str">
        <x:v>G4 status</x:v>
      </x:c>
      <x:c r="B11" s="8" t="str">
        <x:v>Verified complete 2026-10-13</x:v>
      </x:c>
      <x:c r="C11" s="8" t="str">
        <x:v>Replit dated UI addendum agrees; 2026-10-14 REST readback count0/admin/conversation controls retained. Future closure not applied.</x:v>
      </x:c>
      <x:c r="D11" s="2"/>
      <x:c r="E11" s="8" t="str">
        <x:v>https://github.com/Future00111/ledgerpoint/settings/branch_protection_rules/82347898</x:v>
      </x:c>
      <x:c r="F11" s="2"/>
      <x:c r="G11" s="2"/>
      <x:c r="H11" s="2"/>
    </x:row>
    <x:row r="12" ht="78" customHeight="1">
      <x:c r="A12" s="8" t="str">
        <x:v>Product backlog / roadmap</x:v>
      </x:c>
      <x:c r="B12" s="8" t="str">
        <x:v>Historical planning evidence</x:v>
      </x:c>
      <x:c r="C12" s="8" t="str">
        <x:v>Retain original 70 feature rows; refreshed source findings replace stale implementation labels. Roadmap/PRD remain authority for scope.</x:v>
      </x:c>
      <x:c r="D12" s="2"/>
      <x:c r="E12" s="8" t="str">
        <x:v>https://github.com/Future00111/ledgerpoint/blob/085b7e0491d9adbbebcc7e8db384c575bcfa2aca/docs/ledgerly-phase-a-j-roadmap.md</x:v>
      </x:c>
      <x:c r="F12" s="2"/>
      <x:c r="G12" s="2"/>
      <x:c r="H12" s="2"/>
    </x:row>
    <x:row r="13" ht="78" customHeight="1">
      <x:c r="A13" s="8" t="str">
        <x:v>Report probes</x:v>
      </x:c>
      <x:c r="B13" s="8" t="str">
        <x:v>2 positive controls; 4 defects reproduced</x:v>
      </x:c>
      <x:c r="C13" s="8" t="str">
        <x:v>Actual unmodified report function, synthetic in-memory inputs, no database/API/browser journey.</x:v>
      </x:c>
      <x:c r="D13" s="2"/>
      <x:c r="E13" s="8" t="str">
        <x:v>https://github.com/Future00111/ledgerpoint/blob/085b7e0491d9adbbebcc7e8db384c575bcfa2aca/artifacts/ledgerly/src/lib/reportCalculations.js</x:v>
      </x:c>
      <x:c r="F13" s="2"/>
      <x:c r="G13" s="2"/>
      <x:c r="H13" s="2"/>
    </x:row>
    <x:row r="14" ht="78" customHeight="1">
      <x:c r="A14" s="8" t="str">
        <x:v>Numeric representation reference</x:v>
      </x:c>
      <x:c r="B14" s="8" t="str">
        <x:v>Drizzle PostgreSQL numeric</x:v>
      </x:c>
      <x:c r="C14" s="8" t="str">
        <x:v>String numeric representation is supported/default; current schema does not select number mode. Confirm actual API behavior during the customer journey tests.</x:v>
      </x:c>
      <x:c r="D14" s="2"/>
      <x:c r="E14" s="8" t="str">
        <x:v>https://github.com/drizzle-team/drizzle-orm/blob/main/drizzle-orm/src/pg-core/columns/numeric.ts</x:v>
      </x:c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 ht="34" customHeight="1">
      <x:c r="A17" s="12" t="str">
        <x:v>Probe</x:v>
      </x:c>
      <x:c r="B17" s="12" t="str">
        <x:v>Expected value</x:v>
      </x:c>
      <x:c r="C17" s="12" t="str">
        <x:v>Observed result</x:v>
      </x:c>
      <x:c r="D17" s="2"/>
      <x:c r="E17" s="2"/>
      <x:c r="F17" s="2"/>
      <x:c r="G17" s="2"/>
      <x:c r="H17" s="2"/>
    </x:row>
    <x:row r="18" ht="52" customHeight="1">
      <x:c r="A18" s="8" t="str">
        <x:v>Flat numeric legacy fixture: P&amp;L income</x:v>
      </x:c>
      <x:c r="B18" s="18" t="n">
        <x:v>200</x:v>
      </x:c>
      <x:c r="C18" s="18" t="n">
        <x:v>200</x:v>
      </x:c>
      <x:c r="D18" s="2"/>
      <x:c r="E18" s="2"/>
      <x:c r="F18" s="2"/>
      <x:c r="G18" s="2"/>
      <x:c r="H18" s="2"/>
    </x:row>
    <x:row r="19" ht="52" customHeight="1">
      <x:c r="A19" s="8" t="str">
        <x:v>Flat numeric legacy fixture: balanced trial balance</x:v>
      </x:c>
      <x:c r="B19" s="18" t="n">
        <x:v>200</x:v>
      </x:c>
      <x:c r="C19" s="18" t="n">
        <x:v>200</x:v>
      </x:c>
      <x:c r="D19" s="2"/>
      <x:c r="E19" s="2"/>
      <x:c r="F19" s="2"/>
      <x:c r="G19" s="2"/>
      <x:c r="H19" s="2"/>
    </x:row>
    <x:row r="20" ht="52" customHeight="1">
      <x:c r="A20" s="8" t="str">
        <x:v>API/schema-shaped journal headers and account_type: P&amp;L income</x:v>
      </x:c>
      <x:c r="B20" s="18" t="n">
        <x:v>200</x:v>
      </x:c>
      <x:c r="C20" s="18" t="n">
        <x:v>0</x:v>
      </x:c>
      <x:c r="D20" s="2"/>
      <x:c r="E20" s="2"/>
      <x:c r="F20" s="2"/>
      <x:c r="G20" s="2"/>
      <x:c r="H20" s="2"/>
    </x:row>
    <x:row r="21" ht="52" customHeight="1">
      <x:c r="A21" s="8" t="str">
        <x:v>API/schema-shaped nested journal lines: trial balance debit</x:v>
      </x:c>
      <x:c r="B21" s="18" t="n">
        <x:v>200</x:v>
      </x:c>
      <x:c r="C21" s="18" t="n">
        <x:v>0</x:v>
      </x:c>
      <x:c r="D21" s="2"/>
      <x:c r="E21" s="2"/>
      <x:c r="F21" s="2"/>
      <x:c r="G21" s="2"/>
      <x:c r="H21" s="2"/>
    </x:row>
    <x:row r="22" ht="52" customHeight="1">
      <x:c r="A22" s="8" t="str">
        <x:v>Decimal strings in bank rows: cash-flow aggregation</x:v>
      </x:c>
      <x:c r="B22" s="18" t="n">
        <x:v>150</x:v>
      </x:c>
      <x:c r="C22" s="18" t="str">
        <x:v>NaN</x:v>
      </x:c>
      <x:c r="D22" s="2"/>
      <x:c r="E22" s="2"/>
      <x:c r="F22" s="2"/>
      <x:c r="G22" s="2"/>
      <x:c r="H22" s="2"/>
    </x:row>
    <x:row r="23" ht="52" customHeight="1">
      <x:c r="A23" s="8" t="str">
        <x:v>Decimal strings in flat journal rows: trial balance debit</x:v>
      </x:c>
      <x:c r="B23" s="18" t="n">
        <x:v>200</x:v>
      </x:c>
      <x:c r="C23" s="18" t="str">
        <x:v>00200.0000.00</x:v>
      </x:c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 ht="95" customHeight="1">
      <x:c r="A25" s="2" t="str">
        <x:v>Probe interpretation</x:v>
      </x:c>
      <x:c r="B25" s="8" t="str">
        <x:v>Two positive controls passed. Four supplied-input report defects reproduced. No database, API, browser or posting journey was exercised.</x:v>
      </x:c>
      <x:c r="C25" s="8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 ht="130" customHeight="1">
      <x:c r="A28" s="2" t="str">
        <x:v>Estimate basis</x:v>
      </x:c>
      <x:c r="B28" s="8" t="str">
        <x:v>Codex planning judgments for shared remaining workstreams. Low/base/high are effort bounds, not calibrated probabilities. Owner response time and observed delivery capacity can change dates.</x:v>
      </x:c>
      <x:c r="C28" s="8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 ht="105" customHeight="1">
      <x:c r="A31" s="2" t="str">
        <x:v>Release acceptance</x:v>
      </x:c>
      <x:c r="B31" s="8" t="str">
        <x:v>Production readiness, migration, deployment and customer acceptance remain separate gates. The C7 single-owner exception is bounded to development activation.</x:v>
      </x:c>
      <x:c r="C31" s="8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 ht="34" customHeight="1">
      <x:c r="A34" s="12" t="str">
        <x:v>Older label refreshed</x:v>
      </x:c>
      <x:c r="B34" s="12" t="str">
        <x:v>Current source evidence</x:v>
      </x:c>
      <x:c r="C34" s="2"/>
      <x:c r="D34" s="2"/>
      <x:c r="E34" s="2"/>
      <x:c r="F34" s="2"/>
      <x:c r="G34" s="2"/>
      <x:c r="H34" s="2"/>
    </x:row>
    <x:row r="35" ht="90" customHeight="1">
      <x:c r="A35" s="8" t="str">
        <x:v>Company access</x:v>
      </x:c>
      <x:c r="B35" s="8" t="str">
        <x:v>Active-membership guard now present; earlier unsafe-membership label is superseded for the inspected routes.</x:v>
      </x:c>
      <x:c r="C35" s="2"/>
      <x:c r="D35" s="2"/>
      <x:c r="E35" s="2"/>
      <x:c r="F35" s="2"/>
      <x:c r="G35" s="2"/>
      <x:c r="H35" s="2"/>
    </x:row>
    <x:row r="36" ht="90" customHeight="1">
      <x:c r="A36" s="8" t="str">
        <x:v>P&amp;L / Balance Sheet / aging</x:v>
      </x:c>
      <x:c r="B36" s="8" t="str">
        <x:v>Legacy calculations and report selectors exist; completion still requires correct canonical data and acceptance tests.</x:v>
      </x:c>
      <x:c r="C36" s="2"/>
      <x:c r="D36" s="2"/>
      <x:c r="E36" s="2"/>
      <x:c r="F36" s="2"/>
      <x:c r="G36" s="2"/>
      <x:c r="H36" s="2"/>
    </x:row>
    <x:row r="37" ht="90" customHeight="1">
      <x:c r="A37" s="8" t="str">
        <x:v>Trial Balance</x:v>
      </x:c>
      <x:c r="B37" s="8" t="str">
        <x:v>Calculation exists, but the selector does not expose it and the schema-shaped fixture failed.</x:v>
      </x:c>
      <x:c r="C37" s="2"/>
      <x:c r="D37" s="2"/>
      <x:c r="E37" s="2"/>
      <x:c r="F37" s="2"/>
      <x:c r="G37" s="2"/>
      <x:c r="H37" s="2"/>
    </x:row>
    <x:row r="38" ht="90" customHeight="1">
      <x:c r="A38" s="8" t="str">
        <x:v>Transfers</x:v>
      </x:c>
      <x:c r="B38" s="8" t="str">
        <x:v>Paired bank-entry creation now exists; canonical posting/replay acceptance remains.</x:v>
      </x:c>
      <x:c r="C38" s="2"/>
      <x:c r="D38" s="2"/>
      <x:c r="E38" s="2"/>
      <x:c r="F38" s="2"/>
      <x:c r="G38" s="2"/>
      <x:c r="H38" s="2"/>
    </x:row>
    <x:row r="39" ht="90" customHeight="1">
      <x:c r="A39" s="8" t="str">
        <x:v>AI scheduling / Ask</x:v>
      </x:c>
      <x:c r="B39" s="8" t="str">
        <x:v>Process-local scheduler and a real Ask AI route exist; generic integration stubs do not establish all AI is absent.</x:v>
      </x:c>
      <x:c r="C39" s="2"/>
      <x:c r="D39" s="2"/>
      <x:c r="E39" s="2"/>
      <x:c r="F39" s="2"/>
      <x:c r="G39" s="2"/>
      <x:c r="H39" s="2"/>
    </x:row>
    <x:row r="40" ht="90" customHeight="1">
      <x:c r="A40" s="8" t="str">
        <x:v>Candidate infrastructure</x:v>
      </x:c>
      <x:c r="B40" s="8" t="str">
        <x:v>C7 qualification supersedes old C2/C5 failure status; it does not qualify the composite workspace or customer journeys.</x:v>
      </x:c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</x:sheetData>
  <x:pageMargins left="0.7" right="0.7" top="0.75" bottom="0.75" header="0.3" footer="0.3"/>
</x:worksheet>
</file>